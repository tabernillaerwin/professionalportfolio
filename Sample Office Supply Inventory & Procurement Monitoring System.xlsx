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Dashboard" sheetId="1" r:id="rId1"/>
    <sheet name="Inventory-Master" sheetId="3" r:id="rId2"/>
    <sheet name="Stock-Issuance" sheetId="7" r:id="rId3"/>
    <sheet name="Suppliers" sheetId="4" r:id="rId4"/>
    <sheet name="Procurement-Requests" sheetId="5" r:id="rId5"/>
    <sheet name="Purchase-Orders" sheetId="6" r:id="rId6"/>
    <sheet name="Budget-Tracker" sheetId="8" r:id="rId7"/>
    <sheet name="Monthly-Report" sheetId="9" r:id="rId8"/>
    <sheet name="Settings" sheetId="2" r:id="rId9"/>
  </sheets>
  <definedNames>
    <definedName name="CategoryList">Settings!$A$4:$A$11</definedName>
    <definedName name="DepartmentList">Settings!$C$4:$C$11</definedName>
    <definedName name="ItemCategoryLookup">'Inventory-Master'!$B$3:$C$32</definedName>
    <definedName name="ItemFullTable">'Inventory-Master'!$A$3:$L$32</definedName>
    <definedName name="ItemList">'Inventory-Master'!$B$3:$B$32</definedName>
    <definedName name="MovementTypeList">Settings!$H$4:$H$7</definedName>
    <definedName name="POStatusList">Settings!$E$4:$E$8</definedName>
    <definedName name="PriorityList">Settings!$F$4:$F$7</definedName>
    <definedName name="ReqStatusList">Settings!$D$4:$D$7</definedName>
    <definedName name="SupplierList">Suppliers!$B$3:$B$12</definedName>
    <definedName name="SupplierStatusList">Settings!$G$4:$G$5</definedName>
    <definedName name="UnitList">Settings!$B$4:$B$8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<sst xmlns="http://schemas.openxmlformats.org/spreadsheetml/2006/main" count="1094" uniqueCount="378">
  <si>
    <t>Sample Office Supply Inventory &amp; Procurement Monitoring System</t>
  </si>
  <si>
    <t>Chart Support Data (auto-calculated — do not delete)</t>
  </si>
  <si>
    <t>Paper Products</t>
  </si>
  <si>
    <t>TOTAL ITEMS</t>
  </si>
  <si>
    <t>INVENTORY VALUE</t>
  </si>
  <si>
    <t>LOW STOCK ITEMS</t>
  </si>
  <si>
    <t>PENDING REQUESTS</t>
  </si>
  <si>
    <t>ACTIVE SUPPLIERS</t>
  </si>
  <si>
    <t>MONTHLY PROCUREMENT COST</t>
  </si>
  <si>
    <t>Writing Instruments</t>
  </si>
  <si>
    <t>Office Equipment</t>
  </si>
  <si>
    <t>Filing &amp; Storage</t>
  </si>
  <si>
    <t>Stationery</t>
  </si>
  <si>
    <t>Printing Supplies</t>
  </si>
  <si>
    <t>Category</t>
  </si>
  <si>
    <t>Inventory Table</t>
  </si>
  <si>
    <t>Department</t>
  </si>
  <si>
    <t>Requests</t>
  </si>
  <si>
    <t>IT Accessories</t>
  </si>
  <si>
    <t>Finance</t>
  </si>
  <si>
    <t>Packaging Materials</t>
  </si>
  <si>
    <t>Admin</t>
  </si>
  <si>
    <t>Marketing</t>
  </si>
  <si>
    <t>PO Status</t>
  </si>
  <si>
    <t>Count</t>
  </si>
  <si>
    <t>IT</t>
  </si>
  <si>
    <t>Pending</t>
  </si>
  <si>
    <t>HR</t>
  </si>
  <si>
    <t>Ordered</t>
  </si>
  <si>
    <t>Operations</t>
  </si>
  <si>
    <t>Partially Delivered</t>
  </si>
  <si>
    <t>Sales</t>
  </si>
  <si>
    <t>Delivered</t>
  </si>
  <si>
    <t>Procurement</t>
  </si>
  <si>
    <t>Cancelled</t>
  </si>
  <si>
    <t>Status</t>
  </si>
  <si>
    <t>Month</t>
  </si>
  <si>
    <t>Sum of Total Procurement Spend</t>
  </si>
  <si>
    <t>Grand Total</t>
  </si>
  <si>
    <t>⚠  Low Stock Alert — Items Requiring Immediate Reorder</t>
  </si>
  <si>
    <t>Item ID</t>
  </si>
  <si>
    <t>Item Name</t>
  </si>
  <si>
    <t>Current Stock</t>
  </si>
  <si>
    <t>Reorder Level</t>
  </si>
  <si>
    <t>Suggested Reorder Qty</t>
  </si>
  <si>
    <t>Low Stock Reference</t>
  </si>
  <si>
    <t>🔎 Quick Item Lookup Tool  —  powered by XLOOKUP, FILTER, SORT &amp; UNIQUE</t>
  </si>
  <si>
    <t>Type or select an Item Name:</t>
  </si>
  <si>
    <t>Highlighter Yellow</t>
  </si>
  <si>
    <t>Unit</t>
  </si>
  <si>
    <t>Unit Cost</t>
  </si>
  <si>
    <t>Stock Status</t>
  </si>
  <si>
    <t>Preferred Supplier</t>
  </si>
  <si>
    <t>Inventory Master List</t>
  </si>
  <si>
    <t>Stock Value</t>
  </si>
  <si>
    <t>Reorder Qty Suggested</t>
  </si>
  <si>
    <t>Last Restocked</t>
  </si>
  <si>
    <t>ITM-001</t>
  </si>
  <si>
    <t>Bond Paper A4</t>
  </si>
  <si>
    <t>Ream</t>
  </si>
  <si>
    <t>Prime Paper Solutions</t>
  </si>
  <si>
    <t>ITM-002</t>
  </si>
  <si>
    <t>Ballpen Black</t>
  </si>
  <si>
    <t>Box</t>
  </si>
  <si>
    <t>Signature Pens &amp; More</t>
  </si>
  <si>
    <t>ITM-003</t>
  </si>
  <si>
    <t>Stapler</t>
  </si>
  <si>
    <t>Piece</t>
  </si>
  <si>
    <t>Office Essentials Trading</t>
  </si>
  <si>
    <t>ITM-004</t>
  </si>
  <si>
    <t>Staple Wire</t>
  </si>
  <si>
    <t>ITM-005</t>
  </si>
  <si>
    <t>Pencil HB</t>
  </si>
  <si>
    <t>ITM-006</t>
  </si>
  <si>
    <t>Eraser</t>
  </si>
  <si>
    <t>ITM-007</t>
  </si>
  <si>
    <t>ITM-008</t>
  </si>
  <si>
    <t>Permanent Marker Black</t>
  </si>
  <si>
    <t>ITM-009</t>
  </si>
  <si>
    <t>Whiteboard Marker Blue</t>
  </si>
  <si>
    <t>ITM-010</t>
  </si>
  <si>
    <t>Correction Tape</t>
  </si>
  <si>
    <t>ITM-011</t>
  </si>
  <si>
    <t>Glue Stick</t>
  </si>
  <si>
    <t>Pack</t>
  </si>
  <si>
    <t>ITM-012</t>
  </si>
  <si>
    <t>Scissors</t>
  </si>
  <si>
    <t>ITM-013</t>
  </si>
  <si>
    <t>Paper Clips</t>
  </si>
  <si>
    <t>ITM-014</t>
  </si>
  <si>
    <t>Binder Clips Medium</t>
  </si>
  <si>
    <t>ITM-015</t>
  </si>
  <si>
    <t>Rubber Bands</t>
  </si>
  <si>
    <t>ITM-016</t>
  </si>
  <si>
    <t>Manila Folder</t>
  </si>
  <si>
    <t>SecureFile Solutions</t>
  </si>
  <si>
    <t>ITM-017</t>
  </si>
  <si>
    <t>Expanding File Folder</t>
  </si>
  <si>
    <t>ITM-018</t>
  </si>
  <si>
    <t>Document Envelope</t>
  </si>
  <si>
    <t>ITM-019</t>
  </si>
  <si>
    <t>Notebook A5</t>
  </si>
  <si>
    <t>ITM-020</t>
  </si>
  <si>
    <t>Memo Pad</t>
  </si>
  <si>
    <t>ClearView Office Systems</t>
  </si>
  <si>
    <t>ITM-021</t>
  </si>
  <si>
    <t>Desk Calendar</t>
  </si>
  <si>
    <t>ITM-022</t>
  </si>
  <si>
    <t>Printer Ink Black</t>
  </si>
  <si>
    <t>PrintTech Supplies Inc.</t>
  </si>
  <si>
    <t>ITM-023</t>
  </si>
  <si>
    <t>Printer Ink Cyan</t>
  </si>
  <si>
    <t>ITM-024</t>
  </si>
  <si>
    <t>Printer Ink Magenta</t>
  </si>
  <si>
    <t>ITM-025</t>
  </si>
  <si>
    <t>Printer Ink Yellow</t>
  </si>
  <si>
    <t>ITM-026</t>
  </si>
  <si>
    <t>Toner Cartridge</t>
  </si>
  <si>
    <t>ITM-027</t>
  </si>
  <si>
    <t>USB Flash Drive 32GB</t>
  </si>
  <si>
    <t>TechLink Accessories</t>
  </si>
  <si>
    <t>ITM-028</t>
  </si>
  <si>
    <t>Label Stickers</t>
  </si>
  <si>
    <t>PackRight Enterprises</t>
  </si>
  <si>
    <t>ITM-029</t>
  </si>
  <si>
    <t>Packaging Tape</t>
  </si>
  <si>
    <t>Roll</t>
  </si>
  <si>
    <t>ITM-030</t>
  </si>
  <si>
    <t>Calculator</t>
  </si>
  <si>
    <t>Stock Issuance Log</t>
  </si>
  <si>
    <t>Issuance ID</t>
  </si>
  <si>
    <t>Date</t>
  </si>
  <si>
    <t>Item</t>
  </si>
  <si>
    <t>Quantity Issued</t>
  </si>
  <si>
    <t>Total Value</t>
  </si>
  <si>
    <t>Issued By</t>
  </si>
  <si>
    <t>Purpose / Remarks</t>
  </si>
  <si>
    <t>ISS-0001</t>
  </si>
  <si>
    <t>Lorna Pascual</t>
  </si>
  <si>
    <t>Event/meeting preparation</t>
  </si>
  <si>
    <t>ISS-0002</t>
  </si>
  <si>
    <t>Jun Bautista</t>
  </si>
  <si>
    <t>Replacement of damaged item</t>
  </si>
  <si>
    <t>ISS-0003</t>
  </si>
  <si>
    <t>Ferdie Aguilar</t>
  </si>
  <si>
    <t>ISS-0004</t>
  </si>
  <si>
    <t>ISS-0005</t>
  </si>
  <si>
    <t>ISS-0006</t>
  </si>
  <si>
    <t>Project-specific requirement</t>
  </si>
  <si>
    <t>ISS-0007</t>
  </si>
  <si>
    <t>Routine department replenishment</t>
  </si>
  <si>
    <t>ISS-0008</t>
  </si>
  <si>
    <t>ISS-0009</t>
  </si>
  <si>
    <t>Monthly office supply allocation</t>
  </si>
  <si>
    <t>ISS-0010</t>
  </si>
  <si>
    <t>ISS-0011</t>
  </si>
  <si>
    <t>ISS-0012</t>
  </si>
  <si>
    <t>ISS-0013</t>
  </si>
  <si>
    <t>ISS-0014</t>
  </si>
  <si>
    <t>ISS-0015</t>
  </si>
  <si>
    <t>ISS-0016</t>
  </si>
  <si>
    <t>ISS-0017</t>
  </si>
  <si>
    <t>ISS-0018</t>
  </si>
  <si>
    <t>New employee onboarding kit</t>
  </si>
  <si>
    <t>ISS-0019</t>
  </si>
  <si>
    <t>ISS-0020</t>
  </si>
  <si>
    <t>ISS-0021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</si>
  <si>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</si>
  <si>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</si>
  <si>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</si>
  <si>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</si>
  <si>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</si>
  <si>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</si>
  <si>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</si>
  <si>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</si>
  <si>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</si>
  <si>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</si>
  <si>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</si>
  <si>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</si>
  <si>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</si>
  <si>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</si>
  <si>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</si>
  <si>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</si>
  <si>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</si>
  <si>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</si>
  <si>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</si>
  <si>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</si>
  <si>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</si>
  <si>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</si>
  <si>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</si>
  <si>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</si>
  <si>
    <t>Supplier Directory</t>
  </si>
  <si>
    <t>Supplier ID</t>
  </si>
  <si>
    <t>Supplier Name</t>
  </si>
  <si>
    <t>Contact Person</t>
  </si>
  <si>
    <t>Email</t>
  </si>
  <si>
    <t>Phone</t>
  </si>
  <si>
    <t>Category Supplied</t>
  </si>
  <si>
    <t>Date Onboarded</t>
  </si>
  <si>
    <t>Total POs</t>
  </si>
  <si>
    <t>Total Spend</t>
  </si>
  <si>
    <t>Rating (1-5)</t>
  </si>
  <si>
    <t>SUP-001</t>
  </si>
  <si>
    <t>Maria Santos</t>
  </si>
  <si>
    <t>maria.santos@primepaper.com</t>
  </si>
  <si>
    <t>0917 345 2101</t>
  </si>
  <si>
    <t>Active</t>
  </si>
  <si>
    <t>SUP-002</t>
  </si>
  <si>
    <t>John Reyes</t>
  </si>
  <si>
    <t>john.reyes@officeessentials.com</t>
  </si>
  <si>
    <t>0918 456 3210</t>
  </si>
  <si>
    <t>SUP-003</t>
  </si>
  <si>
    <t>Anna Cruz</t>
  </si>
  <si>
    <t>anna.cruz@printtechsupplies.com</t>
  </si>
  <si>
    <t>0919 567 4321</t>
  </si>
  <si>
    <t>SUP-004</t>
  </si>
  <si>
    <t>Workspace Equipment Corp.</t>
  </si>
  <si>
    <t>Michael Garcia</t>
  </si>
  <si>
    <t>michael.garcia@workspaceequip.com</t>
  </si>
  <si>
    <t>0920 678 5432</t>
  </si>
  <si>
    <t>SUP-005</t>
  </si>
  <si>
    <t>Catherine Lopez</t>
  </si>
  <si>
    <t>c.lopez@securefile.com</t>
  </si>
  <si>
    <t>0921 789 6543</t>
  </si>
  <si>
    <t>SUP-006</t>
  </si>
  <si>
    <t>David Mendoza</t>
  </si>
  <si>
    <t>david.mendoza@techlinkacc.com</t>
  </si>
  <si>
    <t>0922 890 7654</t>
  </si>
  <si>
    <t>SUP-007</t>
  </si>
  <si>
    <t>Jennifer Ramos</t>
  </si>
  <si>
    <t>j.ramos@signaturepens.com</t>
  </si>
  <si>
    <t>0923 901 8765</t>
  </si>
  <si>
    <t>SUP-008</t>
  </si>
  <si>
    <t>Robert Villanueva</t>
  </si>
  <si>
    <t>robert.v@packright.com</t>
  </si>
  <si>
    <t>0924 112 9876</t>
  </si>
  <si>
    <t>Inactive</t>
  </si>
  <si>
    <t>SUP-009</t>
  </si>
  <si>
    <t>BizForm Print Co.</t>
  </si>
  <si>
    <t>Louie Fernandez</t>
  </si>
  <si>
    <t>louie.f@bizformprint.com</t>
  </si>
  <si>
    <t>0925 223 0987</t>
  </si>
  <si>
    <t>SUP-010</t>
  </si>
  <si>
    <t>Patricia Dizon</t>
  </si>
  <si>
    <t>p.dizon@clearviewoffice.com</t>
  </si>
  <si>
    <t>0926 334 1098</t>
  </si>
  <si>
    <t>Procurement Requests</t>
  </si>
  <si>
    <t>Request ID</t>
  </si>
  <si>
    <t>Date Requested</t>
  </si>
  <si>
    <t>Requested Item</t>
  </si>
  <si>
    <t>Quantity</t>
  </si>
  <si>
    <t>Priority</t>
  </si>
  <si>
    <t>Requested By</t>
  </si>
  <si>
    <t>Date Needed</t>
  </si>
  <si>
    <t>Approved By</t>
  </si>
  <si>
    <t>Remarks</t>
  </si>
  <si>
    <t>REQ-0001</t>
  </si>
  <si>
    <t>Low</t>
  </si>
  <si>
    <t>Angela Bautista</t>
  </si>
  <si>
    <t>Awaiting department head approval</t>
  </si>
  <si>
    <t>REQ-0002</t>
  </si>
  <si>
    <t>Bea Santiago</t>
  </si>
  <si>
    <t>REQ-0003</t>
  </si>
  <si>
    <t>High</t>
  </si>
  <si>
    <t>Kristine Uy</t>
  </si>
  <si>
    <t>Rejected</t>
  </si>
  <si>
    <t>Insufficient budget for this cycle</t>
  </si>
  <si>
    <t>REQ-0004</t>
  </si>
  <si>
    <t>Miguel Torres</t>
  </si>
  <si>
    <t>Fulfilled</t>
  </si>
  <si>
    <t>Edwin Castillo (Finance Mgr)</t>
  </si>
  <si>
    <t>Delivered and issued to requesting department</t>
  </si>
  <si>
    <t>REQ-0005</t>
  </si>
  <si>
    <t>Kevin Ocampo</t>
  </si>
  <si>
    <t>REQ-0006</t>
  </si>
  <si>
    <t>Noel Villareal</t>
  </si>
  <si>
    <t>REQ-0007</t>
  </si>
  <si>
    <t>Grace Manalo</t>
  </si>
  <si>
    <t>Cynthia Roque (Admin Mgr)</t>
  </si>
  <si>
    <t>REQ-0008</t>
  </si>
  <si>
    <t>Ramon Aquino</t>
  </si>
  <si>
    <t>Rachel Gonzales (Ops Mgr)</t>
  </si>
  <si>
    <t>REQ-0009</t>
  </si>
  <si>
    <t>Medium</t>
  </si>
  <si>
    <t>Julia Navarro</t>
  </si>
  <si>
    <t>REQ-0010</t>
  </si>
  <si>
    <t>REQ-0011</t>
  </si>
  <si>
    <t>Paolo Salazar</t>
  </si>
  <si>
    <t>REQ-0012</t>
  </si>
  <si>
    <t>Approved</t>
  </si>
  <si>
    <t>Approved, pending PO issuance</t>
  </si>
  <si>
    <t>REQ-0013</t>
  </si>
  <si>
    <t>REQ-0014</t>
  </si>
  <si>
    <t>REQ-0015</t>
  </si>
  <si>
    <t>REQ-0016</t>
  </si>
  <si>
    <t>REQ-0017</t>
  </si>
  <si>
    <t>REQ-0018</t>
  </si>
  <si>
    <t>Carlos Dela Cruz</t>
  </si>
  <si>
    <t>REQ-0019</t>
  </si>
  <si>
    <t>REQ-0020</t>
  </si>
  <si>
    <t>REQ-0021</t>
  </si>
  <si>
    <t>REQ-0022</t>
  </si>
  <si>
    <t>REQ-0023</t>
  </si>
  <si>
    <t>REQ-0024</t>
  </si>
  <si>
    <t>REQ-0025</t>
  </si>
  <si>
    <t>REQ-0026</t>
  </si>
  <si>
    <t>REQ-0027</t>
  </si>
  <si>
    <t>REQ-0028</t>
  </si>
  <si>
    <t>REQ-0029</t>
  </si>
  <si>
    <t>REQ-0030</t>
  </si>
  <si>
    <t>Purchase Orders</t>
  </si>
  <si>
    <t>PO Number</t>
  </si>
  <si>
    <t>PO Date</t>
  </si>
  <si>
    <t>Supplier</t>
  </si>
  <si>
    <t>Qty Ordered</t>
  </si>
  <si>
    <t>Total Cost</t>
  </si>
  <si>
    <t>Expected Delivery</t>
  </si>
  <si>
    <t>Actual Delivery</t>
  </si>
  <si>
    <t>Days to Deliver</t>
  </si>
  <si>
    <t>PO-0001</t>
  </si>
  <si>
    <t>Received in full and verified</t>
  </si>
  <si>
    <t>PO-0002</t>
  </si>
  <si>
    <t>Order confirmed, in transit</t>
  </si>
  <si>
    <t>PO-0003</t>
  </si>
  <si>
    <t>PO-0004</t>
  </si>
  <si>
    <t>PO-0005</t>
  </si>
  <si>
    <t>Awaiting supplier confirmation</t>
  </si>
  <si>
    <t>PO-0006</t>
  </si>
  <si>
    <t>Cancelled due to supplier stock-out</t>
  </si>
  <si>
    <t>PO-0007</t>
  </si>
  <si>
    <t>PO-0008</t>
  </si>
  <si>
    <t>PO-0009</t>
  </si>
  <si>
    <t>PO-0010</t>
  </si>
  <si>
    <t>PO-0011</t>
  </si>
  <si>
    <t>Partial shipment received; balance pending</t>
  </si>
  <si>
    <t>PO-0012</t>
  </si>
  <si>
    <t>PO-0013</t>
  </si>
  <si>
    <t>PO-0014</t>
  </si>
  <si>
    <t>PO-0015</t>
  </si>
  <si>
    <t>PO-0016</t>
  </si>
  <si>
    <t>PO-0017</t>
  </si>
  <si>
    <t>PO-0018</t>
  </si>
  <si>
    <t>PO-0019</t>
  </si>
  <si>
    <t>PO-0020</t>
  </si>
  <si>
    <t>PO-0021</t>
  </si>
  <si>
    <t>PO-0022</t>
  </si>
  <si>
    <t>PO-0023</t>
  </si>
  <si>
    <t>PO-0024</t>
  </si>
  <si>
    <t>PO-0025</t>
  </si>
  <si>
    <t>PO-0026</t>
  </si>
  <si>
    <t>PO-0027</t>
  </si>
  <si>
    <t>PO-0028</t>
  </si>
  <si>
    <t>Budget &amp; Spending Analysis</t>
  </si>
  <si>
    <t>Budget Allocated</t>
  </si>
  <si>
    <t>Actual Spend</t>
  </si>
  <si>
    <t>Variance</t>
  </si>
  <si>
    <t>Variance %</t>
  </si>
  <si>
    <t>Monthly Procurement Report</t>
  </si>
  <si>
    <t>Total Requests</t>
  </si>
  <si>
    <t>Approved / Fulfilled</t>
  </si>
  <si>
    <t>Pending Requests</t>
  </si>
  <si>
    <t>Total POs Issued</t>
  </si>
  <si>
    <t>Total Procurement Spend</t>
  </si>
  <si>
    <t>Total Stock Issued Value</t>
  </si>
  <si>
    <t>Avg PO Value</t>
  </si>
  <si>
    <t>Total</t>
  </si>
  <si>
    <t>System Settings &amp; Lookup Lists</t>
  </si>
  <si>
    <t>Categories</t>
  </si>
  <si>
    <t>Units</t>
  </si>
  <si>
    <t>Departments</t>
  </si>
  <si>
    <t>Request Status</t>
  </si>
  <si>
    <t>Supplier Status</t>
  </si>
  <si>
    <t>Movement Type</t>
  </si>
  <si>
    <t>Issuance</t>
  </si>
  <si>
    <t>Return</t>
  </si>
  <si>
    <t>Adjustment</t>
  </si>
  <si>
    <t>Urgent</t>
  </si>
  <si>
    <t>Receiving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</si>
</sst>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 yyyy"/>
    <numFmt numFmtId="177" formatCode="&quot;₱&quot;#,##0.00"/>
    <numFmt numFmtId="178" formatCode="0.0%"/>
    <numFmt numFmtId="179" formatCode="mmm\ dd&quot;, &quot;yyyy"/>
    <numFmt numFmtId="180" formatCode="0.0"/>
    <numFmt numFmtId="181" formatCode="&quot;₱&quot;#,##0"/>
    <numFmt numFmtId="182" formatCode="[$-409]mmmm\-yy;@"/>
  </numFmts>
  <fonts count="35">
    <font>
      <sz val="11"/>
      <color theme="1"/>
      <name val="Calibri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62626"/>
      <name val="Arial"/>
      <charset val="1"/>
    </font>
    <font>
      <i/>
      <sz val="9"/>
      <color rgb="FF808080"/>
      <name val="Arial"/>
      <charset val="1"/>
    </font>
    <font>
      <b/>
      <sz val="10"/>
      <color rgb="FF262626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8"/>
      <color rgb="FFFFFFFF"/>
      <name val="Arial"/>
      <charset val="1"/>
    </font>
    <font>
      <b/>
      <sz val="10"/>
      <color rgb="FFFFFFFF"/>
      <name val="Calibri"/>
      <charset val="1"/>
    </font>
    <font>
      <sz val="10"/>
      <color rgb="FF262626"/>
      <name val="Calibri"/>
      <charset val="1"/>
    </font>
    <font>
      <b/>
      <sz val="12"/>
      <color rgb="FF9C0006"/>
      <name val="Arial"/>
      <charset val="1"/>
    </font>
    <font>
      <i/>
      <sz val="9"/>
      <color rgb="FF808080"/>
      <name val="Calibri"/>
      <charset val="1"/>
    </font>
    <font>
      <b/>
      <sz val="12"/>
      <color rgb="FF1F3864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D9D9D9"/>
      </patternFill>
    </fill>
    <fill>
      <patternFill patternType="solid">
        <fgColor rgb="FF9C0006"/>
        <bgColor rgb="FF800000"/>
      </patternFill>
    </fill>
    <fill>
      <patternFill patternType="solid">
        <fgColor rgb="FF7F6000"/>
        <bgColor rgb="FF993300"/>
      </patternFill>
    </fill>
    <fill>
      <patternFill patternType="solid">
        <fgColor rgb="FF375623"/>
        <bgColor rgb="FF1F3864"/>
      </patternFill>
    </fill>
    <fill>
      <patternFill patternType="solid">
        <fgColor rgb="FF5B2C6F"/>
        <bgColor rgb="FF1F3864"/>
      </patternFill>
    </fill>
    <fill>
      <patternFill patternType="solid">
        <fgColor rgb="FFFFE699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/>
    <xf numFmtId="44" fontId="14" fillId="0" borderId="0"/>
    <xf numFmtId="9" fontId="14" fillId="0" borderId="0"/>
    <xf numFmtId="41" fontId="14" fillId="0" borderId="0"/>
    <xf numFmtId="42" fontId="14" fillId="0" borderId="0"/>
    <xf numFmtId="0" fontId="15" fillId="0" borderId="0">
      <alignment vertical="center"/>
    </xf>
    <xf numFmtId="0" fontId="16" fillId="0" borderId="0">
      <alignment vertical="center"/>
    </xf>
    <xf numFmtId="0" fontId="17" fillId="10" borderId="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6">
      <alignment vertical="center"/>
    </xf>
    <xf numFmtId="0" fontId="22" fillId="0" borderId="6">
      <alignment vertical="center"/>
    </xf>
    <xf numFmtId="0" fontId="23" fillId="0" borderId="7">
      <alignment vertical="center"/>
    </xf>
    <xf numFmtId="0" fontId="23" fillId="0" borderId="0">
      <alignment vertical="center"/>
    </xf>
    <xf numFmtId="0" fontId="24" fillId="11" borderId="8">
      <alignment vertical="center"/>
    </xf>
    <xf numFmtId="0" fontId="25" fillId="12" borderId="9">
      <alignment vertical="center"/>
    </xf>
    <xf numFmtId="0" fontId="26" fillId="12" borderId="8">
      <alignment vertical="center"/>
    </xf>
    <xf numFmtId="0" fontId="27" fillId="13" borderId="10">
      <alignment vertical="center"/>
    </xf>
    <xf numFmtId="0" fontId="28" fillId="0" borderId="11">
      <alignment vertical="center"/>
    </xf>
    <xf numFmtId="0" fontId="29" fillId="0" borderId="12">
      <alignment vertical="center"/>
    </xf>
    <xf numFmtId="0" fontId="30" fillId="14" borderId="0">
      <alignment vertical="center"/>
    </xf>
    <xf numFmtId="0" fontId="31" fillId="15" borderId="0">
      <alignment vertical="center"/>
    </xf>
    <xf numFmtId="0" fontId="32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4" fillId="38" borderId="0">
      <alignment vertical="center"/>
    </xf>
    <xf numFmtId="0" fontId="34" fillId="39" borderId="0">
      <alignment vertical="center"/>
    </xf>
    <xf numFmtId="0" fontId="33" fillId="40" borderId="0">
      <alignment vertical="center"/>
    </xf>
  </cellStyleXfs>
  <cellXfs count="5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vertical="top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/>
    <xf numFmtId="177" fontId="5" fillId="4" borderId="1" xfId="0" applyNumberFormat="1" applyFont="1" applyFill="1" applyBorder="1"/>
    <xf numFmtId="178" fontId="3" fillId="0" borderId="1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top" indent="1"/>
    </xf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81" fontId="7" fillId="3" borderId="0" xfId="0" applyNumberFormat="1" applyFont="1" applyFill="1" applyAlignment="1">
      <alignment horizontal="center" vertical="center"/>
    </xf>
    <xf numFmtId="1" fontId="7" fillId="5" borderId="0" xfId="0" applyNumberFormat="1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 vertical="center"/>
    </xf>
    <xf numFmtId="1" fontId="7" fillId="7" borderId="0" xfId="0" applyNumberFormat="1" applyFont="1" applyFill="1" applyAlignment="1">
      <alignment horizontal="center" vertical="center"/>
    </xf>
    <xf numFmtId="181" fontId="7" fillId="8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82" fontId="10" fillId="0" borderId="1" xfId="0" applyNumberFormat="1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3" fillId="0" borderId="0" xfId="0" applyFont="1"/>
    <xf numFmtId="0" fontId="5" fillId="0" borderId="0" xfId="0" applyFont="1"/>
    <xf numFmtId="0" fontId="0" fillId="9" borderId="1" xfId="0" applyFill="1" applyBorder="1"/>
    <xf numFmtId="0" fontId="5" fillId="0" borderId="0" xfId="0" applyFont="1" applyAlignment="1"/>
    <xf numFmtId="0" fontId="3" fillId="0" borderId="0" xfId="0" applyFont="1"/>
    <xf numFmtId="0" fontId="3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5">
    <dxf>
      <font>
        <b val="1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1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1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183" formatCode="dd/mm/yyyy;@"/>
    </dxf>
    <dxf>
      <numFmt numFmtId="184" formatCode="dd/mm/yyyy;@"/>
    </dxf>
    <dxf>
      <numFmt numFmtId="185" formatCode="dd/mm/yyyy;@"/>
    </dxf>
    <dxf>
      <numFmt numFmtId="186" formatCode="dd/mm/yyyy;@"/>
    </dxf>
    <dxf>
      <numFmt numFmtId="187" formatCode="dd/mm/yyyy;@"/>
    </dxf>
    <dxf>
      <numFmt numFmtId="188" formatCode="dd/mm/yyyy;@"/>
    </dxf>
    <dxf>
      <numFmt numFmtId="182" formatCode="[$-409]mmmm\-yy;@"/>
    </dxf>
    <dxf>
      <numFmt numFmtId="182" formatCode="[$-409]mmmm\-yy;@"/>
    </dxf>
    <dxf>
      <numFmt numFmtId="182" formatCode="[$-409]mmmm\-yy;@"/>
    </dxf>
    <dxf>
      <numFmt numFmtId="182" formatCode="[$-409]mmmm\-yy;@"/>
    </dxf>
    <dxf>
      <numFmt numFmtId="182" formatCode="[$-409]mmmm\-yy;@"/>
    </dxf>
    <dxf>
      <numFmt numFmtId="182" formatCode="[$-409]mmmm\-yy;@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 wrapText="1"/>
    </dxf>
    <dxf>
      <alignment horizontal="right" wrapText="1"/>
    </dxf>
    <dxf>
      <alignment horizontal="left"/>
    </dxf>
    <dxf>
      <alignment horizontal="right"/>
    </dxf>
    <dxf>
      <alignment horizontal="left" wrapText="1"/>
    </dxf>
    <dxf>
      <alignment horizontal="center" wrapText="1"/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scheme val="none"/>
        <charset val="1"/>
        <family val="0"/>
        <sz val="1"/>
        <color rgb="FFFFFFFF"/>
      </font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7F6000"/>
      </font>
      <fill>
        <patternFill patternType="solid">
          <bgColor rgb="FFFFE699"/>
        </patternFill>
      </fill>
    </dxf>
    <dxf>
      <font>
        <b val="1"/>
        <color rgb="FF375623"/>
      </font>
      <fill>
        <patternFill patternType="solid">
          <bgColor rgb="FFC6E0B4"/>
        </patternFill>
      </fill>
    </dxf>
    <dxf>
      <font>
        <b val="1"/>
        <color rgb="FF1F3864"/>
      </font>
      <fill>
        <patternFill patternType="solid">
          <bgColor rgb="FFD9E2F3"/>
        </patternFill>
      </fill>
    </dxf>
    <dxf>
      <font>
        <b val="1"/>
        <color rgb="FFC55A11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firstRowStripe" dxfId="59"/>
      <tableStyleElement type="firstColumnStripe" dxfId="58"/>
    </tableStyle>
    <tableStyle name="PivotStylePreset2_Accent1" table="0" count="10" xr9:uid="{267968C8-6FFD-4C36-ACC1-9EA1FD1885CA}">
      <tableStyleElement type="headerRow" dxfId="74"/>
      <tableStyleElement type="totalRow" dxfId="73"/>
      <tableStyleElement type="firstRowStripe" dxfId="72"/>
      <tableStyleElement type="firstColumnStripe" dxfId="71"/>
      <tableStyleElement type="firstSubtotalRow" dxfId="70"/>
      <tableStyleElement type="secondSubtotalRow" dxfId="69"/>
      <tableStyleElement type="firstRowSubheading" dxfId="68"/>
      <tableStyleElement type="secondRowSubheading" dxfId="67"/>
      <tableStyleElement type="pageFieldLabels" dxfId="66"/>
      <tableStyleElement type="pageFieldValues" dxfId="6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993366"/>
      <rgbColor rgb="00FCE4D6"/>
      <rgbColor rgb="00D9E2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FC7CE"/>
      <rgbColor rgb="002E75B6"/>
      <rgbColor rgb="0033CCCC"/>
      <rgbColor rgb="0099CC00"/>
      <rgbColor rgb="00FFCC00"/>
      <rgbColor rgb="00BF8F00"/>
      <rgbColor rgb="00C55A11"/>
      <rgbColor rgb="00666699"/>
      <rgbColor rgb="00B3B3B3"/>
      <rgbColor rgb="001F3864"/>
      <rgbColor rgb="00548235"/>
      <rgbColor rgb="00003300"/>
      <rgbColor rgb="00375623"/>
      <rgbColor rgb="00993300"/>
      <rgbColor rgb="00993366"/>
      <rgbColor rgb="005B2C6F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Inventory Value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Inventory 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Dashboard!$A$10:$A$17</c:f>
              <c:strCache>
                <c:ptCount val="8"/>
                <c:pt idx="0">
                  <c:v>Writing Instruments</c:v>
                </c:pt>
                <c:pt idx="1">
                  <c:v>Office Equipment</c:v>
                </c:pt>
                <c:pt idx="2">
                  <c:v>Filing &amp; Storage</c:v>
                </c:pt>
                <c:pt idx="3">
                  <c:v>Paper Products</c:v>
                </c:pt>
                <c:pt idx="4">
                  <c:v>Stationery</c:v>
                </c:pt>
                <c:pt idx="5">
                  <c:v>Printing Supplies</c:v>
                </c:pt>
                <c:pt idx="6">
                  <c:v>IT Accessories</c:v>
                </c:pt>
                <c:pt idx="7">
                  <c:v>Packaging Materials</c:v>
                </c:pt>
              </c:strCache>
            </c:strRef>
          </c:cat>
          <c:val>
            <c:numRef>
              <c:f>Dashboard!$B$10:$B$17</c:f>
              <c:numCache>
                <c:formatCode>General</c:formatCode>
                <c:ptCount val="8"/>
                <c:pt idx="0">
                  <c:v>7855</c:v>
                </c:pt>
                <c:pt idx="1">
                  <c:v>13650</c:v>
                </c:pt>
                <c:pt idx="2">
                  <c:v>18000</c:v>
                </c:pt>
                <c:pt idx="3">
                  <c:v>1050</c:v>
                </c:pt>
                <c:pt idx="4">
                  <c:v>1175</c:v>
                </c:pt>
                <c:pt idx="5">
                  <c:v>23700</c:v>
                </c:pt>
                <c:pt idx="6">
                  <c:v>1000</c:v>
                </c:pt>
                <c:pt idx="7">
                  <c:v>5800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42337326"/>
        <c:axId val="507653163"/>
      </c:barChart>
      <c:catAx>
        <c:axId val="1423373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07653163"/>
        <c:crosses val="autoZero"/>
        <c:auto val="1"/>
        <c:lblAlgn val="ctr"/>
        <c:lblOffset val="100"/>
        <c:noMultiLvlLbl val="0"/>
      </c:catAx>
      <c:valAx>
        <c:axId val="507653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42337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52104-2965-4a5a-83bc-03c5feb508a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Purchase Order Status Breakdown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Dashboard!$B$25</c:f>
              <c:strCache>
                <c:ptCount val="1"/>
                <c:pt idx="0">
                  <c:v>Count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Dashboard!$A$26:$A$30</c:f>
              <c:strCache>
                <c:ptCount val="5"/>
                <c:pt idx="0">
                  <c:v>Delivered</c:v>
                </c:pt>
                <c:pt idx="1">
                  <c:v>Ordered</c:v>
                </c:pt>
                <c:pt idx="2">
                  <c:v>Pending</c:v>
                </c:pt>
                <c:pt idx="3">
                  <c:v>Partially Delivered</c:v>
                </c:pt>
                <c:pt idx="4">
                  <c:v>Cancelled</c:v>
                </c:pt>
              </c:strCache>
            </c:strRef>
          </c:cat>
          <c:val>
            <c:numRef>
              <c:f>Dashboard!$B$26:$B$30</c:f>
              <c:numCache>
                <c:formatCode>General</c:formatCode>
                <c:ptCount val="5"/>
                <c:pt idx="0">
                  <c:v>17</c:v>
                </c:pt>
                <c:pt idx="1">
                  <c:v>6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256deb-5e38-4947-97ec-ac6f3e9750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Procurement Requests by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Dashboard!$I$9</c:f>
              <c:strCache>
                <c:ptCount val="1"/>
                <c:pt idx="0">
                  <c:v>Requests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Dashboard!$H$10:$H$17</c:f>
              <c:strCache>
                <c:ptCount val="8"/>
                <c:pt idx="0">
                  <c:v>Finance</c:v>
                </c:pt>
                <c:pt idx="1">
                  <c:v>Admin</c:v>
                </c:pt>
                <c:pt idx="2">
                  <c:v>Marketing</c:v>
                </c:pt>
                <c:pt idx="3">
                  <c:v>IT</c:v>
                </c:pt>
                <c:pt idx="4">
                  <c:v>HR</c:v>
                </c:pt>
                <c:pt idx="5">
                  <c:v>Operations</c:v>
                </c:pt>
                <c:pt idx="6">
                  <c:v>Sales</c:v>
                </c:pt>
                <c:pt idx="7">
                  <c:v>Procurement</c:v>
                </c:pt>
              </c:strCache>
            </c:strRef>
          </c:cat>
          <c:val>
            <c:numRef>
              <c:f>Dashboard!$I$10:$I$17</c:f>
              <c:numCache>
                <c:formatCode>General</c:formatCode>
                <c:ptCount val="8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0092222"/>
        <c:axId val="92918976"/>
      </c:barChart>
      <c:catAx>
        <c:axId val="49009222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918976"/>
        <c:crosses val="autoZero"/>
        <c:auto val="1"/>
        <c:lblAlgn val="ctr"/>
        <c:lblOffset val="100"/>
        <c:noMultiLvlLbl val="0"/>
      </c:catAx>
      <c:valAx>
        <c:axId val="9291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0922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0c6a15-10a1-48df-9c0a-666101ec4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[Office_Supply_With_Charts.xlsx]Dashboard!PivotTable3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Procurement Spend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Dashboard!$I$35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Dashboard!$H$36:$H$42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Dashboard!$I$36:$I$42</c:f>
              <c:numCache>
                <c:formatCode>General</c:formatCode>
                <c:ptCount val="6"/>
                <c:pt idx="0">
                  <c:v>14000</c:v>
                </c:pt>
                <c:pt idx="1">
                  <c:v>8690</c:v>
                </c:pt>
                <c:pt idx="2">
                  <c:v>34175</c:v>
                </c:pt>
                <c:pt idx="3">
                  <c:v>181175</c:v>
                </c:pt>
                <c:pt idx="4">
                  <c:v>6375</c:v>
                </c:pt>
                <c:pt idx="5">
                  <c:v>5950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54220588"/>
        <c:axId val="417376787"/>
      </c:lineChart>
      <c:catAx>
        <c:axId val="9542205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376787"/>
        <c:crosses val="autoZero"/>
        <c:auto val="1"/>
        <c:lblAlgn val="ctr"/>
        <c:lblOffset val="100"/>
        <c:noMultiLvlLbl val="0"/>
      </c:catAx>
      <c:valAx>
        <c:axId val="4173767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2205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f9d92e-5984-44d1-a395-4b3c7eb8bf4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109220</xdr:colOff>
      <xdr:row>8</xdr:row>
      <xdr:rowOff>63500</xdr:rowOff>
    </xdr:from>
    <xdr:to>
      <xdr:col>6</xdr:col>
      <xdr:colOff>477520</xdr:colOff>
      <xdr:row>22</xdr:row>
      <xdr:rowOff>143510</xdr:rowOff>
    </xdr:to>
    <xdr:graphicFrame>
      <xdr:nvGraphicFramePr>
        <xdr:cNvPr id="5" name="Chart 4" descr="7b0a202020202263686172745265734964223a20223230343735343234220a7d0a"/>
        <xdr:cNvGraphicFramePr/>
      </xdr:nvGraphicFramePr>
      <xdr:xfrm>
        <a:off x="3865880" y="1873250"/>
        <a:ext cx="469646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125730</xdr:colOff>
      <xdr:row>24</xdr:row>
      <xdr:rowOff>27305</xdr:rowOff>
    </xdr:from>
    <xdr:to>
      <xdr:col>6</xdr:col>
      <xdr:colOff>494030</xdr:colOff>
      <xdr:row>38</xdr:row>
      <xdr:rowOff>156845</xdr:rowOff>
    </xdr:to>
    <xdr:graphicFrame>
      <xdr:nvGraphicFramePr>
        <xdr:cNvPr id="6" name="Chart 5"/>
        <xdr:cNvGraphicFramePr/>
      </xdr:nvGraphicFramePr>
      <xdr:xfrm>
        <a:off x="3882390" y="4885055"/>
        <a:ext cx="46964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19685</xdr:colOff>
      <xdr:row>17</xdr:row>
      <xdr:rowOff>142240</xdr:rowOff>
    </xdr:from>
    <xdr:to>
      <xdr:col>11</xdr:col>
      <xdr:colOff>456565</xdr:colOff>
      <xdr:row>32</xdr:row>
      <xdr:rowOff>35560</xdr:rowOff>
    </xdr:to>
    <xdr:graphicFrame>
      <xdr:nvGraphicFramePr>
        <xdr:cNvPr id="7" name="Chart 6"/>
        <xdr:cNvGraphicFramePr/>
      </xdr:nvGraphicFramePr>
      <xdr:xfrm>
        <a:off x="9064625" y="3666490"/>
        <a:ext cx="55956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946150</xdr:colOff>
      <xdr:row>42</xdr:row>
      <xdr:rowOff>109855</xdr:rowOff>
    </xdr:from>
    <xdr:to>
      <xdr:col>10</xdr:col>
      <xdr:colOff>857250</xdr:colOff>
      <xdr:row>55</xdr:row>
      <xdr:rowOff>140335</xdr:rowOff>
    </xdr:to>
    <xdr:graphicFrame>
      <xdr:nvGraphicFramePr>
        <xdr:cNvPr id="9" name="Chart 8"/>
        <xdr:cNvGraphicFramePr/>
      </xdr:nvGraphicFramePr>
      <xdr:xfrm>
        <a:off x="9030970" y="8312785"/>
        <a:ext cx="506984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7.5586111111" refreshedBy="Rester" recordCount="6">
  <cacheSource type="worksheet">
    <worksheetSource ref="A2:H8" sheet="Monthly-Report"/>
  </cacheSource>
  <cacheFields count="8">
    <cacheField name="Month" numFmtId="176">
      <sharedItems containsSemiMixedTypes="0" containsString="0" containsNonDate="0" containsDate="1" minDate="2026-01-01T00:00:00" maxDate="2026-06-01T00:00:00" count="6">
        <d v="2026-01-01T00:00:00"/>
        <d v="2026-02-01T00:00:00"/>
        <d v="2026-03-01T00:00:00"/>
        <d v="2026-04-01T00:00:00"/>
        <d v="2026-05-01T00:00:00"/>
        <d v="2026-06-01T00:00:00"/>
      </sharedItems>
    </cacheField>
    <cacheField name="Total Requests" numFmtId="0">
      <sharedItems containsSemiMixedTypes="0" containsString="0" containsNumber="1" containsInteger="1" minValue="0" maxValue="5" count="1">
        <n v="5"/>
      </sharedItems>
    </cacheField>
    <cacheField name="Approved / Fulfilled" numFmtId="0">
      <sharedItems containsSemiMixedTypes="0" containsString="0" containsNumber="1" containsInteger="1" minValue="0" maxValue="4" count="3">
        <n v="3"/>
        <n v="4"/>
        <n v="2"/>
      </sharedItems>
    </cacheField>
    <cacheField name="Pending Requests" numFmtId="0">
      <sharedItems containsSemiMixedTypes="0" containsString="0" containsNumber="1" containsInteger="1" minValue="0" maxValue="2" count="2">
        <n v="1"/>
        <n v="2"/>
      </sharedItems>
    </cacheField>
    <cacheField name="Total POs Issued" numFmtId="0">
      <sharedItems containsSemiMixedTypes="0" containsString="0" containsNumber="1" containsInteger="1" minValue="0" maxValue="6" count="4">
        <n v="3"/>
        <n v="6"/>
        <n v="4"/>
        <n v="5"/>
      </sharedItems>
    </cacheField>
    <cacheField name="Total Procurement Spend" numFmtId="177">
      <sharedItems containsSemiMixedTypes="0" containsString="0" containsNumber="1" containsInteger="1" minValue="0" maxValue="181175" count="6">
        <n v="14000"/>
        <n v="8690"/>
        <n v="34175"/>
        <n v="181175"/>
        <n v="6375"/>
        <n v="5950"/>
      </sharedItems>
    </cacheField>
    <cacheField name="Total Stock Issued Value" numFmtId="177">
      <sharedItems containsSemiMixedTypes="0" containsString="0" containsNumber="1" containsInteger="1" minValue="0" maxValue="23740" count="6">
        <n v="9690"/>
        <n v="10689"/>
        <n v="23740"/>
        <n v="13150"/>
        <n v="22980"/>
        <n v="7965"/>
      </sharedItems>
    </cacheField>
    <cacheField name="Avg PO Value" numFmtId="177">
      <sharedItems containsSemiMixedTypes="0" containsString="0" containsNumber="1" minValue="0" maxValue="30195.8333333333" count="6">
        <n v="4666.66666666667"/>
        <n v="1448.33333333333"/>
        <n v="8543.75"/>
        <n v="30195.8333333333"/>
        <n v="1593.75"/>
        <n v="119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  <x v="0"/>
    <x v="0"/>
    <x v="0"/>
  </r>
  <r>
    <x v="1"/>
    <x v="0"/>
    <x v="1"/>
    <x v="0"/>
    <x v="1"/>
    <x v="1"/>
    <x v="1"/>
    <x v="1"/>
  </r>
  <r>
    <x v="2"/>
    <x v="0"/>
    <x v="2"/>
    <x v="1"/>
    <x v="2"/>
    <x v="2"/>
    <x v="2"/>
    <x v="2"/>
  </r>
  <r>
    <x v="3"/>
    <x v="0"/>
    <x v="1"/>
    <x v="0"/>
    <x v="1"/>
    <x v="3"/>
    <x v="3"/>
    <x v="3"/>
  </r>
  <r>
    <x v="4"/>
    <x v="0"/>
    <x v="0"/>
    <x v="1"/>
    <x v="2"/>
    <x v="4"/>
    <x v="4"/>
    <x v="4"/>
  </r>
  <r>
    <x v="5"/>
    <x v="0"/>
    <x v="1"/>
    <x v="0"/>
    <x v="3"/>
    <x v="5"/>
    <x v="5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35:I42" firstHeaderRow="1" firstDataRow="1" firstDataCol="1"/>
  <pivotFields count="8">
    <pivotField axis="axisRow" compact="0" numFmtId="176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2">
        <item x="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dataField="1" compact="0" numFmtId="177" showAll="0">
      <items count="7">
        <item x="5"/>
        <item x="4"/>
        <item x="1"/>
        <item x="0"/>
        <item x="2"/>
        <item x="3"/>
        <item t="default"/>
      </items>
    </pivotField>
    <pivotField compact="0" numFmtId="177" showAll="0">
      <items count="7">
        <item x="5"/>
        <item x="0"/>
        <item x="1"/>
        <item x="3"/>
        <item x="4"/>
        <item x="2"/>
        <item t="default"/>
      </items>
    </pivotField>
    <pivotField compact="0" numFmtId="177" showAll="0">
      <items count="7">
        <item x="5"/>
        <item x="1"/>
        <item x="4"/>
        <item x="0"/>
        <item x="2"/>
        <item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Procurement Spend" fld="5" baseField="0" baseItem="0"/>
  </dataFields>
  <formats count="40">
    <format dxfId="0">
      <pivotArea field="0" type="button" dataOnly="0" labelOnly="1" outline="0" fieldPosition="0"/>
    </format>
    <format dxfId="1">
      <pivotArea dataOnly="0" labelOnly="1" grandRow="1" fieldPosition="0"/>
    </format>
    <format dxfId="2">
      <pivotArea grandRow="1" collapsedLevelsAreSubtotals="1" fieldPosition="0"/>
    </format>
    <format dxfId="3">
      <pivotArea dataOnly="0" labelOnly="1" fieldPosition="0">
        <references count="1">
          <reference field="0" count="1">
            <x v="0"/>
          </reference>
        </references>
      </pivotArea>
    </format>
    <format dxfId="4">
      <pivotArea collapsedLevelsAreSubtotals="1" fieldPosition="0">
        <references count="1">
          <reference field="0" count="1" selected="0">
            <x v="0"/>
          </reference>
        </references>
      </pivotArea>
    </format>
    <format dxfId="5">
      <pivotArea dataOnly="0" labelOnly="1" fieldPosition="0">
        <references count="1">
          <reference field="0" count="1">
            <x v="1"/>
          </reference>
        </references>
      </pivotArea>
    </format>
    <format dxfId="6">
      <pivotArea collapsedLevelsAreSubtotals="1" fieldPosition="0">
        <references count="1">
          <reference field="0" count="1" selected="0">
            <x v="1"/>
          </reference>
        </references>
      </pivotArea>
    </format>
    <format dxfId="7">
      <pivotArea dataOnly="0" labelOnly="1" fieldPosition="0">
        <references count="1">
          <reference field="0" count="1">
            <x v="2"/>
          </reference>
        </references>
      </pivotArea>
    </format>
    <format dxfId="8">
      <pivotArea collapsedLevelsAreSubtotals="1" fieldPosition="0">
        <references count="1">
          <reference field="0" count="1" selected="0">
            <x v="2"/>
          </reference>
        </references>
      </pivotArea>
    </format>
    <format dxfId="9">
      <pivotArea dataOnly="0" labelOnly="1" fieldPosition="0">
        <references count="1">
          <reference field="0" count="1">
            <x v="3"/>
          </reference>
        </references>
      </pivotArea>
    </format>
    <format dxfId="10">
      <pivotArea collapsedLevelsAreSubtotals="1" fieldPosition="0">
        <references count="1">
          <reference field="0" count="1" selected="0">
            <x v="3"/>
          </reference>
        </references>
      </pivotArea>
    </format>
    <format dxfId="11">
      <pivotArea dataOnly="0" labelOnly="1" fieldPosition="0">
        <references count="1">
          <reference field="0" count="1">
            <x v="4"/>
          </reference>
        </references>
      </pivotArea>
    </format>
    <format dxfId="12">
      <pivotArea collapsedLevelsAreSubtotals="1" fieldPosition="0">
        <references count="1">
          <reference field="0" count="1" selected="0">
            <x v="4"/>
          </reference>
        </references>
      </pivotArea>
    </format>
    <format dxfId="13">
      <pivotArea dataOnly="0" labelOnly="1" fieldPosition="0">
        <references count="1">
          <reference field="0" count="1">
            <x v="5"/>
          </reference>
        </references>
      </pivotArea>
    </format>
    <format dxfId="14">
      <pivotArea collapsedLevelsAreSubtotals="1" fieldPosition="0">
        <references count="1">
          <reference field="0" count="1" selected="0">
            <x v="5"/>
          </reference>
        </references>
      </pivotArea>
    </format>
    <format dxfId="15">
      <pivotArea collapsedLevelsAreSubtotals="1" fieldPosition="0">
        <references count="1">
          <reference field="0" count="1" selected="0">
            <x v="0"/>
          </reference>
        </references>
      </pivotArea>
    </format>
    <format dxfId="16">
      <pivotArea collapsedLevelsAreSubtotals="1" fieldPosition="0">
        <references count="1">
          <reference field="0" count="1" selected="0">
            <x v="1"/>
          </reference>
        </references>
      </pivotArea>
    </format>
    <format dxfId="17">
      <pivotArea collapsedLevelsAreSubtotals="1" fieldPosition="0">
        <references count="1">
          <reference field="0" count="1" selected="0">
            <x v="2"/>
          </reference>
        </references>
      </pivotArea>
    </format>
    <format dxfId="18">
      <pivotArea collapsedLevelsAreSubtotals="1" fieldPosition="0">
        <references count="1">
          <reference field="0" count="1" selected="0">
            <x v="3"/>
          </reference>
        </references>
      </pivotArea>
    </format>
    <format dxfId="19">
      <pivotArea collapsedLevelsAreSubtotals="1" fieldPosition="0">
        <references count="1">
          <reference field="0" count="1" selected="0">
            <x v="4"/>
          </reference>
        </references>
      </pivotArea>
    </format>
    <format dxfId="20">
      <pivotArea collapsedLevelsAreSubtotals="1" fieldPosition="0">
        <references count="1">
          <reference field="0" count="1" selected="0">
            <x v="5"/>
          </reference>
        </references>
      </pivotArea>
    </format>
    <format dxfId="21">
      <pivotArea grandRow="1" collapsedLevelsAreSubtotals="1" fieldPosition="0"/>
    </format>
    <format dxfId="22">
      <pivotArea dataOnly="0" labelOnly="1" fieldPosition="0">
        <references count="1">
          <reference field="0" count="1">
            <x v="0"/>
          </reference>
        </references>
      </pivotArea>
    </format>
    <format dxfId="23">
      <pivotArea dataOnly="0" labelOnly="1" fieldPosition="0">
        <references count="1">
          <reference field="0" count="1">
            <x v="1"/>
          </reference>
        </references>
      </pivotArea>
    </format>
    <format dxfId="24">
      <pivotArea dataOnly="0" labelOnly="1" fieldPosition="0">
        <references count="1">
          <reference field="0" count="1">
            <x v="2"/>
          </reference>
        </references>
      </pivotArea>
    </format>
    <format dxfId="25">
      <pivotArea dataOnly="0" labelOnly="1" fieldPosition="0">
        <references count="1">
          <reference field="0" count="1">
            <x v="3"/>
          </reference>
        </references>
      </pivotArea>
    </format>
    <format dxfId="26">
      <pivotArea dataOnly="0" labelOnly="1" fieldPosition="0">
        <references count="1">
          <reference field="0" count="1">
            <x v="4"/>
          </reference>
        </references>
      </pivotArea>
    </format>
    <format dxfId="27">
      <pivotArea dataOnly="0" labelOnly="1" fieldPosition="0">
        <references count="1">
          <reference field="0" count="1">
            <x v="5"/>
          </reference>
        </references>
      </pivotArea>
    </format>
    <format dxfId="28">
      <pivotArea dataOnly="0" labelOnly="1" fieldPosition="0">
        <references count="1">
          <reference field="0" count="1">
            <x v="0"/>
          </reference>
        </references>
      </pivotArea>
    </format>
    <format dxfId="29">
      <pivotArea dataOnly="0" labelOnly="1" fieldPosition="0">
        <references count="1">
          <reference field="0" count="1">
            <x v="1"/>
          </reference>
        </references>
      </pivotArea>
    </format>
    <format dxfId="30">
      <pivotArea dataOnly="0" labelOnly="1" fieldPosition="0">
        <references count="1">
          <reference field="0" count="1">
            <x v="2"/>
          </reference>
        </references>
      </pivotArea>
    </format>
    <format dxfId="31">
      <pivotArea dataOnly="0" labelOnly="1" fieldPosition="0">
        <references count="1">
          <reference field="0" count="1">
            <x v="3"/>
          </reference>
        </references>
      </pivotArea>
    </format>
    <format dxfId="32">
      <pivotArea dataOnly="0" labelOnly="1" fieldPosition="0">
        <references count="1">
          <reference field="0" count="1">
            <x v="4"/>
          </reference>
        </references>
      </pivotArea>
    </format>
    <format dxfId="33">
      <pivotArea dataOnly="0" labelOnly="1" fieldPosition="0">
        <references count="1">
          <reference field="0" count="1">
            <x v="5"/>
          </reference>
        </references>
      </pivotArea>
    </format>
    <format dxfId="34">
      <pivotArea dataOnly="0" labelOnly="1" fieldPosition="0">
        <references count="1">
          <reference field="0" count="1">
            <x v="0"/>
          </reference>
        </references>
      </pivotArea>
    </format>
    <format dxfId="35">
      <pivotArea dataOnly="0" labelOnly="1" fieldPosition="0">
        <references count="1">
          <reference field="0" count="1">
            <x v="1"/>
          </reference>
        </references>
      </pivotArea>
    </format>
    <format dxfId="36">
      <pivotArea dataOnly="0" labelOnly="1" fieldPosition="0">
        <references count="1">
          <reference field="0" count="1">
            <x v="2"/>
          </reference>
        </references>
      </pivotArea>
    </format>
    <format dxfId="37">
      <pivotArea dataOnly="0" labelOnly="1" fieldPosition="0">
        <references count="1">
          <reference field="0" count="1">
            <x v="3"/>
          </reference>
        </references>
      </pivotArea>
    </format>
    <format dxfId="38">
      <pivotArea dataOnly="0" labelOnly="1" fieldPosition="0">
        <references count="1">
          <reference field="0" count="1">
            <x v="4"/>
          </reference>
        </references>
      </pivotArea>
    </format>
    <format dxfId="39">
      <pivotArea dataOnly="0" labelOnly="1" fieldPosition="0">
        <references count="1">
          <reference field="0" count="1">
            <x v="5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8" name="Table8" displayName="Table8" ref="A9:B17" totalsRowShown="0">
  <autoFilter xmlns:etc="http://www.wps.cn/officeDocument/2017/etCustomData" ref="A9:B17" etc:filterBottomFollowUsedRange="0"/>
  <tableColumns count="2">
    <tableColumn id="1" name="Category" dataDxfId="40"/>
    <tableColumn id="2" name="Inventory Table" dataDxfId="41">
      <calculatedColumnFormula>SUMIF('Inventory-Master'!C2:C32,A10,'Inventory-Master'!H3:H32)</calculatedColumnFormula>
    </tableColumn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9" name="Table9" displayName="Table9" ref="A25:B30" totalsRowShown="0">
  <autoFilter xmlns:etc="http://www.wps.cn/officeDocument/2017/etCustomData" ref="A25:B30" etc:filterBottomFollowUsedRange="0"/>
  <tableColumns count="2">
    <tableColumn id="1" name="Status" dataDxfId="42"/>
    <tableColumn id="2" name="Count" dataDxfId="43">
      <calculatedColumnFormula>COUNTIF('Purchase-Orders'!J2:J30,A26)</calculatedColumnFormula>
    </tableColumn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10" name="Table10" displayName="Table10" ref="H9:I17" totalsRowShown="0">
  <autoFilter xmlns:etc="http://www.wps.cn/officeDocument/2017/etCustomData" ref="H9:I17" etc:filterBottomFollowUsedRange="0"/>
  <tableColumns count="2">
    <tableColumn id="1" name="Department" dataDxfId="44"/>
    <tableColumn id="2" name="Requests" dataDxfId="45">
      <calculatedColumnFormula>COUNTIF('Procurement-Requests'!C2:C32,H10)</calculatedColumnFormula>
    </tableColumn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11" name="Table11" displayName="Table11" ref="A45:F55" totalsRowShown="0">
  <autoFilter xmlns:etc="http://www.wps.cn/officeDocument/2017/etCustomData" ref="A45:F55" etc:filterBottomFollowUsedRange="0"/>
  <tableColumns count="6">
    <tableColumn id="1" name="Item ID" dataDxfId="46"/>
    <tableColumn id="2" name="Item Name" dataDxfId="47"/>
    <tableColumn id="3" name="Category" dataDxfId="48"/>
    <tableColumn id="4" name="Current Stock" dataDxfId="49"/>
    <tableColumn id="5" name="Reorder Level" dataDxfId="50"/>
    <tableColumn id="6" name="Suggested Reorder Qty" dataDxfId="51"/>
  </tableColumns>
  <tableStyleInfo name="TableStylePreset3_Accent1" showFirstColumn="0" showLastColumn="0" showRowStripes="0" showColumnStripes="0"/>
</table>
</file>

<file path=xl/tables/table5.xml><?xml version="1.0" encoding="utf-8"?>
<table xmlns="http://schemas.openxmlformats.org/spreadsheetml/2006/main" id="12" name="Table12" displayName="Table12" ref="A57:A61" totalsRowShown="0">
  <autoFilter xmlns:etc="http://www.wps.cn/officeDocument/2017/etCustomData" ref="A57:A61" etc:filterBottomFollowUsedRange="0"/>
  <tableColumns count="1">
    <tableColumn id="1" name="Low Stock Reference"/>
  </tableColumns>
  <tableStyleInfo name="TableStylePreset3_Accent1" showFirstColumn="0" showLastColumn="0" showRowStripes="0" showColumnStripes="0"/>
</table>
</file>

<file path=xl/tables/table6.xml><?xml version="1.0" encoding="utf-8"?>
<table xmlns="http://schemas.openxmlformats.org/spreadsheetml/2006/main" id="1" name="tbl_Inventory" displayName="tbl_Inventory" ref="A2:L32" totalsRowShown="0">
  <autoFilter xmlns:etc="http://www.wps.cn/officeDocument/2017/etCustomData" ref="A2:L32" etc:filterBottomFollowUsedRange="0"/>
  <tableColumns count="12">
    <tableColumn id="1" name="Item ID"/>
    <tableColumn id="2" name="Item Name"/>
    <tableColumn id="3" name="Category"/>
    <tableColumn id="4" name="Unit"/>
    <tableColumn id="5" name="Reorder Level"/>
    <tableColumn id="6" name="Current Stock"/>
    <tableColumn id="7" name="Unit Cost"/>
    <tableColumn id="8" name="Stock Value"/>
    <tableColumn id="9" name="Reorder Qty Suggested"/>
    <tableColumn id="10" name="Stock Status"/>
    <tableColumn id="11" name="Preferred Supplier"/>
    <tableColumn id="12" name="Last Restocked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bl_StockIssuance" displayName="tbl_StockIssuance" ref="A2:J47" totalsRowShown="0">
  <autoFilter xmlns:etc="http://www.wps.cn/officeDocument/2017/etCustomData" ref="A2:J47" etc:filterBottomFollowUsedRange="0"/>
  <tableColumns count="10">
    <tableColumn id="1" name="Issuance ID"/>
    <tableColumn id="2" name="Date"/>
    <tableColumn id="3" name="Item"/>
    <tableColumn id="4" name="Category"/>
    <tableColumn id="5" name="Department"/>
    <tableColumn id="6" name="Quantity Issued"/>
    <tableColumn id="7" name="Unit Cost"/>
    <tableColumn id="8" name="Total Value"/>
    <tableColumn id="9" name="Issued By"/>
    <tableColumn id="10" name="Purpose / Remark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2" name="tbl_Suppliers" displayName="tbl_Suppliers" ref="A2:K12" totalsRowShown="0">
  <autoFilter xmlns:etc="http://www.wps.cn/officeDocument/2017/etCustomData" ref="A2:K12" etc:filterBottomFollowUsedRange="0"/>
  <tableColumns count="11">
    <tableColumn id="1" name="Supplier ID"/>
    <tableColumn id="2" name="Supplier Name"/>
    <tableColumn id="3" name="Contact Person"/>
    <tableColumn id="4" name="Email"/>
    <tableColumn id="5" name="Phone"/>
    <tableColumn id="6" name="Category Supplied"/>
    <tableColumn id="7" name="Status"/>
    <tableColumn id="8" name="Date Onboarded"/>
    <tableColumn id="9" name="Total POs"/>
    <tableColumn id="10" name="Total Spend"/>
    <tableColumn id="11" name="Rating (1-5)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3" name="tbl_Requests" displayName="tbl_Requests" ref="A2:L32" totalsRowShown="0">
  <autoFilter xmlns:etc="http://www.wps.cn/officeDocument/2017/etCustomData" ref="A2:L32" etc:filterBottomFollowUsedRange="0"/>
  <tableColumns count="12">
    <tableColumn id="1" name="Request ID"/>
    <tableColumn id="2" name="Date Requested"/>
    <tableColumn id="3" name="Department"/>
    <tableColumn id="4" name="Requested Item"/>
    <tableColumn id="5" name="Category"/>
    <tableColumn id="6" name="Quantity"/>
    <tableColumn id="7" name="Priority"/>
    <tableColumn id="8" name="Requested By"/>
    <tableColumn id="9" name="Status"/>
    <tableColumn id="10" name="Date Needed"/>
    <tableColumn id="11" name="Approved By"/>
    <tableColumn id="12" name="Remarks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4" name="tbl_PurchaseOrders" displayName="tbl_PurchaseOrders" ref="A2:N30" totalsRowShown="0">
  <autoFilter xmlns:etc="http://www.wps.cn/officeDocument/2017/etCustomData" ref="A2:N30" etc:filterBottomFollowUsedRange="0"/>
  <tableColumns count="14">
    <tableColumn id="1" name="PO Number"/>
    <tableColumn id="2" name="PO Date"/>
    <tableColumn id="3" name="Request ID"/>
    <tableColumn id="4" name="Supplier"/>
    <tableColumn id="5" name="Item"/>
    <tableColumn id="6" name="Category"/>
    <tableColumn id="7" name="Unit Cost"/>
    <tableColumn id="8" name="Qty Ordered"/>
    <tableColumn id="9" name="Total Cost"/>
    <tableColumn id="10" name="Status"/>
    <tableColumn id="11" name="Expected Delivery"/>
    <tableColumn id="12" name="Actual Delivery"/>
    <tableColumn id="13" name="Days to Deliver"/>
    <tableColumn id="14" name="Remark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6" name="tbl_Budget" displayName="tbl_Budget" ref="A2:G50" totalsRowShown="0">
  <autoFilter xmlns:etc="http://www.wps.cn/officeDocument/2017/etCustomData" ref="A2:G50" etc:filterBottomFollowUsedRange="0"/>
  <tableColumns count="7">
    <tableColumn id="1" name="Month"/>
    <tableColumn id="2" name="Category"/>
    <tableColumn id="3" name="Budget Allocated"/>
    <tableColumn id="4" name="Actual Spend"/>
    <tableColumn id="5" name="Variance"/>
    <tableColumn id="6" name="Variance %"/>
    <tableColumn id="7" name="Status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7" name="tbl_MonthlyReport" displayName="tbl_MonthlyReport" ref="A2:H8" totalsRowShown="0">
  <autoFilter xmlns:etc="http://www.wps.cn/officeDocument/2017/etCustomData" ref="A2:H8" etc:filterBottomFollowUsedRange="0"/>
  <tableColumns count="8">
    <tableColumn id="1" name="Month"/>
    <tableColumn id="2" name="Total Requests"/>
    <tableColumn id="3" name="Approved / Fulfilled"/>
    <tableColumn id="4" name="Pending Requests"/>
    <tableColumn id="5" name="Total POs Issued"/>
    <tableColumn id="6" name="Total Procurement Spend"/>
    <tableColumn id="7" name="Total Stock Issued Value"/>
    <tableColumn id="8" name="Avg PO 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table" Target="../tables/table5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P76"/>
  <sheetViews>
    <sheetView showGridLines="0" tabSelected="1" zoomScale="72" zoomScaleNormal="72" topLeftCell="A38" workbookViewId="0">
      <selection activeCell="B68" sqref="B68"/>
    </sheetView>
  </sheetViews>
  <sheetFormatPr defaultColWidth="8.67592592592593" defaultRowHeight="14.4"/>
  <cols>
    <col min="1" max="1" width="29.1111111111111" customWidth="1"/>
    <col min="2" max="2" width="25.6666666666667" customWidth="1"/>
    <col min="3" max="3" width="19" customWidth="1"/>
    <col min="4" max="4" width="13.1111111111111" customWidth="1"/>
    <col min="5" max="5" width="13" customWidth="1"/>
    <col min="6" max="6" width="18" customWidth="1"/>
    <col min="7" max="7" width="14" customWidth="1"/>
    <col min="8" max="8" width="15.2222222222222" customWidth="1"/>
    <col min="9" max="9" width="32"/>
    <col min="10" max="11" width="14" customWidth="1"/>
    <col min="12" max="12" width="20.3703703703704" customWidth="1"/>
    <col min="14" max="15" width="20" hidden="1" customWidth="1" outlineLevel="1"/>
    <col min="16" max="16" width="14" customWidth="1"/>
  </cols>
  <sheetData>
    <row r="1" ht="25.5" customHeight="1" spans="1:16">
      <c r="A1" s="14" t="s">
        <v>0</v>
      </c>
    </row>
    <row r="2" ht="15" customHeight="1" spans="1:16">
      <c r="N2" s="15" t="s">
        <v>1</v>
      </c>
    </row>
    <row r="3" ht="15" customHeight="1" spans="1:16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8"/>
      <c r="N3" s="3" t="s">
        <v>2</v>
      </c>
      <c r="O3" s="3">
        <f>SUMIF('Inventory-Master'!$C$3:$C$32,N3,'Inventory-Master'!$H$3:$H$32)</f>
        <v>5800</v>
      </c>
    </row>
    <row r="4" ht="19.5" customHeight="1" spans="1:16">
      <c r="A4" s="19" t="s">
        <v>3</v>
      </c>
      <c r="C4" s="20" t="s">
        <v>4</v>
      </c>
      <c r="E4" s="21" t="s">
        <v>5</v>
      </c>
      <c r="G4" s="22" t="s">
        <v>6</v>
      </c>
      <c r="I4" s="23" t="s">
        <v>7</v>
      </c>
      <c r="K4" s="24" t="s">
        <v>8</v>
      </c>
      <c r="N4" s="3" t="s">
        <v>9</v>
      </c>
      <c r="O4" s="3">
        <f>SUMIF('Inventory-Master'!$C$3:$C$32,N4,'Inventory-Master'!$H$3:$H$32)</f>
        <v>8355</v>
      </c>
    </row>
    <row r="5" ht="33.75" customHeight="1" spans="1:16">
      <c r="A5" s="25">
        <f>COUNTA('Inventory-Master'!B3:B32)</f>
        <v>30</v>
      </c>
      <c r="C5" s="26">
        <f>SUM('Inventory-Master'!H3:H32)</f>
        <v>74930</v>
      </c>
      <c r="E5" s="27">
        <f>COUNTIF('Inventory-Master'!J3:J32,"Low Stock")</f>
        <v>4</v>
      </c>
      <c r="G5" s="28">
        <f>COUNTIF('Procurement-Requests'!I3:I32,"Pending")</f>
        <v>8</v>
      </c>
      <c r="I5" s="29">
        <f>COUNTIF(Suppliers!G3:G12,"Active")</f>
        <v>9</v>
      </c>
      <c r="K5" s="30">
        <f>INDEX('Monthly-Report'!F3:F8,MATCH(MAX('Monthly-Report'!A3:A8),'Monthly-Report'!A3:A8,0))</f>
        <v>5950</v>
      </c>
      <c r="N5" s="3" t="s">
        <v>10</v>
      </c>
      <c r="O5" s="3">
        <f>SUMIF('Inventory-Master'!$C$3:$C$32,N5,'Inventory-Master'!$H$3:$H$32)</f>
        <v>14750</v>
      </c>
    </row>
    <row r="6" ht="6" customHeight="1" spans="1:16">
      <c r="A6" s="31"/>
      <c r="B6" s="31"/>
      <c r="C6" s="32"/>
      <c r="D6" s="32"/>
      <c r="E6" s="33"/>
      <c r="F6" s="33"/>
      <c r="G6" s="34"/>
      <c r="H6" s="34"/>
      <c r="I6" s="35"/>
      <c r="J6" s="35"/>
      <c r="K6" s="36"/>
      <c r="L6" s="36"/>
      <c r="N6" s="3" t="s">
        <v>11</v>
      </c>
      <c r="O6" s="3">
        <f>SUMIF('Inventory-Master'!$C$3:$C$32,N6,'Inventory-Master'!$H$3:$H$32)</f>
        <v>17300</v>
      </c>
      <c r="P6" t="str">
        <f>IF('Inventory-Master'!J7="Low Stock",ROW('Inventory-Master'!J7),"")</f>
        <v/>
      </c>
    </row>
    <row r="7" ht="18" customHeight="1" spans="1:16">
      <c r="A7" s="37"/>
      <c r="C7" s="38"/>
      <c r="E7" s="39"/>
      <c r="G7" s="40"/>
      <c r="I7" s="41"/>
      <c r="K7" s="42"/>
      <c r="N7" s="3" t="s">
        <v>12</v>
      </c>
      <c r="O7" s="3">
        <f>SUMIF('Inventory-Master'!$C$3:$C$32,N7,'Inventory-Master'!$H$3:$H$32)</f>
        <v>1425</v>
      </c>
      <c r="P7" t="str">
        <f>IF('Inventory-Master'!J8="Low Stock",ROW('Inventory-Master'!J8),"")</f>
        <v/>
      </c>
    </row>
    <row r="8" ht="9.75" customHeight="1" spans="1:16">
      <c r="N8" s="3" t="s">
        <v>13</v>
      </c>
      <c r="O8" s="3">
        <f>SUMIF('Inventory-Master'!$C$3:$C$32,N8,'Inventory-Master'!$H$3:$H$32)</f>
        <v>18500</v>
      </c>
      <c r="P8" t="str">
        <f>IF('Inventory-Master'!J9="Low Stock",ROW('Inventory-Master'!J9),"")</f>
        <v/>
      </c>
    </row>
    <row r="9" ht="15" customHeight="1" spans="1:16">
      <c r="A9" s="43" t="s">
        <v>14</v>
      </c>
      <c r="B9" s="43" t="s">
        <v>15</v>
      </c>
      <c r="H9" s="43" t="s">
        <v>16</v>
      </c>
      <c r="I9" s="43" t="s">
        <v>17</v>
      </c>
      <c r="N9" s="3" t="s">
        <v>18</v>
      </c>
      <c r="O9" s="3">
        <f>SUMIF('Inventory-Master'!$C$3:$C$32,N9,'Inventory-Master'!$H$3:$H$32)</f>
        <v>6000</v>
      </c>
      <c r="P9" t="str">
        <f>IF('Inventory-Master'!J10="Low Stock",ROW('Inventory-Master'!J10),"")</f>
        <v/>
      </c>
    </row>
    <row r="10" ht="15" customHeight="1" spans="1:16">
      <c r="A10" s="44" t="s">
        <v>9</v>
      </c>
      <c r="B10" s="45">
        <f ca="1">SUMIF('Inventory-Master'!C2:C32,A10,'Inventory-Master'!H3:H32)</f>
        <v>7855</v>
      </c>
      <c r="H10" s="44" t="s">
        <v>19</v>
      </c>
      <c r="I10" s="46">
        <f>COUNTIF('Procurement-Requests'!C2:C32,H10)</f>
        <v>9</v>
      </c>
      <c r="N10" s="3" t="s">
        <v>20</v>
      </c>
      <c r="O10" s="3">
        <f>SUMIF('Inventory-Master'!$C$3:$C$32,N10,'Inventory-Master'!$H$3:$H$32)</f>
        <v>2800</v>
      </c>
      <c r="P10" t="str">
        <f>IF('Inventory-Master'!J11="Low Stock",ROW('Inventory-Master'!J11),"")</f>
        <v/>
      </c>
    </row>
    <row r="11" ht="15" customHeight="1" spans="1:16">
      <c r="A11" s="44" t="s">
        <v>10</v>
      </c>
      <c r="B11" s="45">
        <f ca="1">SUMIF('Inventory-Master'!C3:C33,A11,'Inventory-Master'!H4:H33)</f>
        <v>13650</v>
      </c>
      <c r="H11" s="44" t="s">
        <v>21</v>
      </c>
      <c r="I11" s="46">
        <f>COUNTIF('Procurement-Requests'!C3:C33,H11)</f>
        <v>4</v>
      </c>
      <c r="N11" s="3"/>
      <c r="O11" s="3"/>
      <c r="P11" t="str">
        <f>IF('Inventory-Master'!J12="Low Stock",ROW('Inventory-Master'!J12),"")</f>
        <v/>
      </c>
    </row>
    <row r="12" ht="15" customHeight="1" spans="1:16">
      <c r="A12" s="44" t="s">
        <v>11</v>
      </c>
      <c r="B12" s="45">
        <f ca="1">SUMIF('Inventory-Master'!C4:C34,A12,'Inventory-Master'!H5:H34)</f>
        <v>18000</v>
      </c>
      <c r="H12" s="44" t="s">
        <v>22</v>
      </c>
      <c r="I12" s="46">
        <f>COUNTIF('Procurement-Requests'!C4:C34,H12)</f>
        <v>4</v>
      </c>
      <c r="N12" s="3" t="s">
        <v>23</v>
      </c>
      <c r="O12" s="3" t="s">
        <v>24</v>
      </c>
      <c r="P12" t="str">
        <f>IF('Inventory-Master'!J13="Low Stock",ROW('Inventory-Master'!J13),"")</f>
        <v/>
      </c>
    </row>
    <row r="13" ht="15" customHeight="1" spans="1:16">
      <c r="A13" s="44" t="s">
        <v>2</v>
      </c>
      <c r="B13" s="45">
        <f ca="1">SUMIF('Inventory-Master'!C5:C35,A13,'Inventory-Master'!H6:H35)</f>
        <v>1050</v>
      </c>
      <c r="H13" s="44" t="s">
        <v>25</v>
      </c>
      <c r="I13" s="46">
        <f>COUNTIF('Procurement-Requests'!C5:C35,H13)</f>
        <v>3</v>
      </c>
      <c r="N13" s="3" t="s">
        <v>26</v>
      </c>
      <c r="O13" s="3">
        <f>COUNTIF('Purchase-Orders'!$J$3:$J$30,N13)</f>
        <v>3</v>
      </c>
      <c r="P13" t="str">
        <f>IF('Inventory-Master'!J14="Low Stock",ROW('Inventory-Master'!J14),"")</f>
        <v/>
      </c>
    </row>
    <row r="14" ht="15" customHeight="1" spans="1:16">
      <c r="A14" s="44" t="s">
        <v>12</v>
      </c>
      <c r="B14" s="45">
        <f ca="1">SUMIF('Inventory-Master'!C6:C36,A14,'Inventory-Master'!H7:H36)</f>
        <v>1175</v>
      </c>
      <c r="H14" s="44" t="s">
        <v>27</v>
      </c>
      <c r="I14" s="46">
        <f>COUNTIF('Procurement-Requests'!C6:C36,H14)</f>
        <v>4</v>
      </c>
      <c r="N14" s="3" t="s">
        <v>28</v>
      </c>
      <c r="O14" s="3">
        <f>COUNTIF('Purchase-Orders'!$J$3:$J$30,N14)</f>
        <v>6</v>
      </c>
      <c r="P14" t="str">
        <f>IF('Inventory-Master'!J15="Low Stock",ROW('Inventory-Master'!J15),"")</f>
        <v/>
      </c>
    </row>
    <row r="15" ht="15" customHeight="1" spans="1:16">
      <c r="A15" s="44" t="s">
        <v>13</v>
      </c>
      <c r="B15" s="45">
        <f ca="1">SUMIF('Inventory-Master'!C7:C37,A15,'Inventory-Master'!H8:H37)</f>
        <v>23700</v>
      </c>
      <c r="H15" s="44" t="s">
        <v>29</v>
      </c>
      <c r="I15" s="46">
        <f>COUNTIF('Procurement-Requests'!C7:C37,H15)</f>
        <v>2</v>
      </c>
      <c r="N15" s="3" t="s">
        <v>30</v>
      </c>
      <c r="O15" s="3">
        <f>COUNTIF('Purchase-Orders'!$J$3:$J$30,N15)</f>
        <v>1</v>
      </c>
      <c r="P15" t="str">
        <f>IF('Inventory-Master'!J16="Low Stock",ROW('Inventory-Master'!J16),"")</f>
        <v/>
      </c>
    </row>
    <row r="16" ht="15" customHeight="1" spans="1:16">
      <c r="A16" s="44" t="s">
        <v>18</v>
      </c>
      <c r="B16" s="45">
        <f ca="1">SUMIF('Inventory-Master'!C8:C38,A16,'Inventory-Master'!H9:H38)</f>
        <v>1000</v>
      </c>
      <c r="H16" s="44" t="s">
        <v>31</v>
      </c>
      <c r="I16" s="46">
        <f>COUNTIF('Procurement-Requests'!C8:C38,H16)</f>
        <v>2</v>
      </c>
      <c r="N16" s="3" t="s">
        <v>32</v>
      </c>
      <c r="O16" s="3">
        <f>COUNTIF('Purchase-Orders'!$J$3:$J$30,N16)</f>
        <v>17</v>
      </c>
      <c r="P16" t="str">
        <f>IF('Inventory-Master'!J17="Low Stock",ROW('Inventory-Master'!J17),"")</f>
        <v/>
      </c>
    </row>
    <row r="17" ht="15" customHeight="1" spans="1:16">
      <c r="A17" s="44" t="s">
        <v>20</v>
      </c>
      <c r="B17" s="45">
        <f ca="1">SUMIF('Inventory-Master'!C9:C39,A17,'Inventory-Master'!H10:H39)</f>
        <v>5800</v>
      </c>
      <c r="H17" s="44" t="s">
        <v>33</v>
      </c>
      <c r="I17" s="46">
        <f>COUNTIF('Procurement-Requests'!C9:C39,H17)</f>
        <v>2</v>
      </c>
      <c r="N17" s="3" t="s">
        <v>34</v>
      </c>
      <c r="O17" s="3">
        <f>COUNTIF('Purchase-Orders'!$J$3:$J$30,N17)</f>
        <v>1</v>
      </c>
      <c r="P17" t="str">
        <f>IF('Inventory-Master'!J18="Low Stock",ROW('Inventory-Master'!J18),"")</f>
        <v/>
      </c>
    </row>
    <row r="18" ht="15" customHeight="1" spans="1:16">
      <c r="N18" s="3"/>
      <c r="O18" s="3"/>
      <c r="P18" t="str">
        <f>IF('Inventory-Master'!J19="Low Stock",ROW('Inventory-Master'!J19),"")</f>
        <v/>
      </c>
    </row>
    <row r="19" ht="15" customHeight="1" spans="1:16">
      <c r="N19" s="3" t="s">
        <v>16</v>
      </c>
      <c r="O19" s="3" t="s">
        <v>17</v>
      </c>
      <c r="P19" t="str">
        <f>IF('Inventory-Master'!J20="Low Stock",ROW('Inventory-Master'!J20),"")</f>
        <v/>
      </c>
    </row>
    <row r="20" ht="15" customHeight="1" spans="1:16">
      <c r="N20" s="3" t="s">
        <v>21</v>
      </c>
      <c r="O20" s="3">
        <f>COUNTIF('Procurement-Requests'!$C$3:$C$32,N20)</f>
        <v>4</v>
      </c>
      <c r="P20" t="str">
        <f>IF('Inventory-Master'!J21="Low Stock",ROW('Inventory-Master'!J21),"")</f>
        <v/>
      </c>
    </row>
    <row r="21" ht="15" customHeight="1" spans="1:16">
      <c r="N21" s="3" t="s">
        <v>19</v>
      </c>
      <c r="O21" s="3">
        <f>COUNTIF('Procurement-Requests'!$C$3:$C$32,N21)</f>
        <v>9</v>
      </c>
      <c r="P21" t="str">
        <f>IF('Inventory-Master'!J22="Low Stock",ROW('Inventory-Master'!J22),"")</f>
        <v/>
      </c>
    </row>
    <row r="22" ht="15" customHeight="1" spans="1:16">
      <c r="N22" s="3" t="s">
        <v>27</v>
      </c>
      <c r="O22" s="3">
        <f>COUNTIF('Procurement-Requests'!$C$3:$C$32,N22)</f>
        <v>4</v>
      </c>
    </row>
    <row r="23" ht="15" customHeight="1" spans="1:16">
      <c r="N23" s="3" t="s">
        <v>25</v>
      </c>
      <c r="O23" s="3">
        <f>COUNTIF('Procurement-Requests'!$C$3:$C$32,N23)</f>
        <v>3</v>
      </c>
      <c r="P23" t="str">
        <f>IF('Inventory-Master'!J24="Low Stock",ROW('Inventory-Master'!J24),"")</f>
        <v/>
      </c>
    </row>
    <row r="24" ht="15" customHeight="1" spans="1:16">
      <c r="N24" s="3" t="s">
        <v>22</v>
      </c>
      <c r="O24" s="3">
        <f>COUNTIF('Procurement-Requests'!$C$3:$C$32,N24)</f>
        <v>4</v>
      </c>
      <c r="P24" t="str">
        <f>IF('Inventory-Master'!J25="Low Stock",ROW('Inventory-Master'!J25),"")</f>
        <v/>
      </c>
    </row>
    <row r="25" ht="15" customHeight="1" spans="1:16">
      <c r="A25" s="43" t="s">
        <v>35</v>
      </c>
      <c r="B25" s="43" t="s">
        <v>24</v>
      </c>
      <c r="N25" s="3" t="s">
        <v>29</v>
      </c>
      <c r="O25" s="3">
        <f>COUNTIF('Procurement-Requests'!$C$3:$C$32,N25)</f>
        <v>2</v>
      </c>
      <c r="P25" t="str">
        <f>IF('Inventory-Master'!J26="Low Stock",ROW('Inventory-Master'!J26),"")</f>
        <v/>
      </c>
    </row>
    <row r="26" ht="15" customHeight="1" spans="1:16">
      <c r="A26" s="44" t="s">
        <v>32</v>
      </c>
      <c r="B26" s="45">
        <f>COUNTIF('Purchase-Orders'!J2:J30,A26)</f>
        <v>17</v>
      </c>
      <c r="N26" s="3" t="s">
        <v>33</v>
      </c>
      <c r="O26" s="3">
        <f>COUNTIF('Procurement-Requests'!$C$3:$C$32,N26)</f>
        <v>2</v>
      </c>
      <c r="P26" t="str">
        <f>IF('Inventory-Master'!J27="Low Stock",ROW('Inventory-Master'!J27),"")</f>
        <v/>
      </c>
    </row>
    <row r="27" ht="15" customHeight="1" spans="1:16">
      <c r="A27" s="44" t="s">
        <v>28</v>
      </c>
      <c r="B27" s="45">
        <f>COUNTIF('Purchase-Orders'!J3:J31,A27)</f>
        <v>6</v>
      </c>
      <c r="N27" s="3" t="s">
        <v>31</v>
      </c>
      <c r="O27" s="3">
        <f>COUNTIF('Procurement-Requests'!$C$3:$C$32,N27)</f>
        <v>2</v>
      </c>
    </row>
    <row r="28" ht="15" customHeight="1" spans="1:16">
      <c r="A28" s="44" t="s">
        <v>26</v>
      </c>
      <c r="B28" s="45">
        <f>COUNTIF('Purchase-Orders'!J4:J32,A28)</f>
        <v>3</v>
      </c>
      <c r="P28" t="str">
        <f>IF('Inventory-Master'!J29="Low Stock",ROW('Inventory-Master'!J29),"")</f>
        <v/>
      </c>
    </row>
    <row r="29" ht="15" customHeight="1" spans="1:16">
      <c r="A29" s="44" t="s">
        <v>30</v>
      </c>
      <c r="B29" s="45">
        <f>COUNTIF('Purchase-Orders'!J5:J33,A29)</f>
        <v>1</v>
      </c>
      <c r="P29" t="str">
        <f>IF('Inventory-Master'!J30="Low Stock",ROW('Inventory-Master'!J30),"")</f>
        <v/>
      </c>
    </row>
    <row r="30" ht="15" customHeight="1" spans="1:16">
      <c r="A30" s="44" t="s">
        <v>34</v>
      </c>
      <c r="B30" s="45">
        <f>COUNTIF('Purchase-Orders'!J6:J34,A30)</f>
        <v>1</v>
      </c>
      <c r="P30" t="str">
        <f>IF('Inventory-Master'!J31="Low Stock",ROW('Inventory-Master'!J31),"")</f>
        <v/>
      </c>
    </row>
    <row r="31" ht="15" customHeight="1"/>
    <row r="35" spans="1:9">
      <c r="H35" s="43" t="s">
        <v>36</v>
      </c>
      <c r="I35" s="43" t="s">
        <v>37</v>
      </c>
    </row>
    <row r="36" spans="1:9">
      <c r="H36" s="47">
        <v>46023</v>
      </c>
      <c r="I36" s="45">
        <v>14000</v>
      </c>
    </row>
    <row r="37" spans="1:9">
      <c r="H37" s="47">
        <v>46054</v>
      </c>
      <c r="I37" s="45">
        <v>8690</v>
      </c>
    </row>
    <row r="38" spans="1:9">
      <c r="H38" s="47">
        <v>46082</v>
      </c>
      <c r="I38" s="45">
        <v>34175</v>
      </c>
    </row>
    <row r="39" spans="1:9">
      <c r="H39" s="47">
        <v>46113</v>
      </c>
      <c r="I39" s="45">
        <v>181175</v>
      </c>
    </row>
    <row r="40" spans="1:9">
      <c r="H40" s="47">
        <v>46143</v>
      </c>
      <c r="I40" s="45">
        <v>6375</v>
      </c>
    </row>
    <row r="41" spans="1:9">
      <c r="H41" s="47">
        <v>46174</v>
      </c>
      <c r="I41" s="45">
        <v>5950</v>
      </c>
    </row>
    <row r="42" spans="1:9">
      <c r="H42" s="43" t="s">
        <v>38</v>
      </c>
      <c r="I42" s="48">
        <v>250365</v>
      </c>
    </row>
    <row r="44" ht="21.75" customHeight="1" spans="1:9">
      <c r="A44" s="49" t="s">
        <v>39</v>
      </c>
    </row>
    <row r="45" ht="27.75" customHeight="1" spans="1:9">
      <c r="A45" s="2" t="s">
        <v>40</v>
      </c>
      <c r="B45" s="2" t="s">
        <v>41</v>
      </c>
      <c r="C45" s="2" t="s">
        <v>14</v>
      </c>
      <c r="D45" s="2" t="s">
        <v>42</v>
      </c>
      <c r="E45" s="2" t="s">
        <v>43</v>
      </c>
      <c r="F45" s="2" t="s">
        <v>44</v>
      </c>
    </row>
    <row r="46" ht="15" customHeight="1" spans="1:9">
      <c r="A46" s="6" t="str">
        <f>IFERROR(INDEX('Inventory-Master'!$A:$A,IFERROR(SMALL($A$58:$A$61,1),"")),"")</f>
        <v>ITM-003</v>
      </c>
      <c r="B46" s="3" t="str">
        <f>IFERROR(INDEX('Inventory-Master'!$B:$B,IFERROR(SMALL($A$58:$A$61,1),"")),"")</f>
        <v>Stapler</v>
      </c>
      <c r="C46" s="6" t="str">
        <f>IFERROR(INDEX('Inventory-Master'!$C:$C,IFERROR(SMALL($A$58:$A$61,1),"")),"")</f>
        <v>Office Equipment</v>
      </c>
      <c r="D46" s="6">
        <f>IFERROR(INDEX('Inventory-Master'!$F:$F,IFERROR(SMALL($A$58:$A$61,1),"")),"")</f>
        <v>30</v>
      </c>
      <c r="E46" s="6">
        <f>IFERROR(INDEX('Inventory-Master'!$E:$E,IFERROR(SMALL($A$58:$A$61,1),"")),"")</f>
        <v>30</v>
      </c>
      <c r="F46" s="6">
        <f>IFERROR(INDEX('Inventory-Master'!$I:$I,IFERROR(SMALL($A$58:$A$61,1),"")),"")</f>
        <v>30</v>
      </c>
    </row>
    <row r="47" ht="15" customHeight="1" spans="1:9">
      <c r="A47" s="6" t="str">
        <f>IFERROR(INDEX('Inventory-Master'!$A:$A,IFERROR(SMALL($A$58:$A$61,2),"")),"")</f>
        <v>ITM-021</v>
      </c>
      <c r="B47" s="3" t="str">
        <f>IFERROR(INDEX('Inventory-Master'!$B:$B,IFERROR(SMALL($A$58:$A$61,2),"")),"")</f>
        <v>Desk Calendar</v>
      </c>
      <c r="C47" s="6" t="str">
        <f>IFERROR(INDEX('Inventory-Master'!$C:$C,IFERROR(SMALL($A$58:$A$61,2),"")),"")</f>
        <v>Stationery</v>
      </c>
      <c r="D47" s="6">
        <f>IFERROR(INDEX('Inventory-Master'!$F:$F,IFERROR(SMALL($A$58:$A$61,2),"")),"")</f>
        <v>15</v>
      </c>
      <c r="E47" s="6">
        <f>IFERROR(INDEX('Inventory-Master'!$E:$E,IFERROR(SMALL($A$58:$A$61,2),"")),"")</f>
        <v>15</v>
      </c>
      <c r="F47" s="6">
        <f>IFERROR(INDEX('Inventory-Master'!$I:$I,IFERROR(SMALL($A$58:$A$61,2),"")),"")</f>
        <v>15</v>
      </c>
    </row>
    <row r="48" ht="15" customHeight="1" spans="1:9">
      <c r="A48" s="6" t="str">
        <f>IFERROR(INDEX('Inventory-Master'!$A:$A,IFERROR(SMALL($A$58:$A$61,3),"")),"")</f>
        <v>ITM-026</v>
      </c>
      <c r="B48" s="3" t="str">
        <f>IFERROR(INDEX('Inventory-Master'!$B:$B,IFERROR(SMALL($A$58:$A$61,3),"")),"")</f>
        <v>Toner Cartridge</v>
      </c>
      <c r="C48" s="6" t="str">
        <f>IFERROR(INDEX('Inventory-Master'!$C:$C,IFERROR(SMALL($A$58:$A$61,3),"")),"")</f>
        <v>Printing Supplies</v>
      </c>
      <c r="D48" s="6">
        <f>IFERROR(INDEX('Inventory-Master'!$F:$F,IFERROR(SMALL($A$58:$A$61,3),"")),"")</f>
        <v>5</v>
      </c>
      <c r="E48" s="6">
        <f>IFERROR(INDEX('Inventory-Master'!$E:$E,IFERROR(SMALL($A$58:$A$61,3),"")),"")</f>
        <v>5</v>
      </c>
      <c r="F48" s="6">
        <f>IFERROR(INDEX('Inventory-Master'!$I:$I,IFERROR(SMALL($A$58:$A$61,3),"")),"")</f>
        <v>5</v>
      </c>
    </row>
    <row r="49" ht="15" customHeight="1" spans="1:6">
      <c r="A49" s="6" t="str">
        <f>IFERROR(INDEX('Inventory-Master'!$A:$A,IFERROR(SMALL($A$58:$A$61,4),"")),"")</f>
        <v>ITM-030</v>
      </c>
      <c r="B49" s="3" t="str">
        <f>IFERROR(INDEX('Inventory-Master'!$B:$B,IFERROR(SMALL($A$58:$A$61,4),"")),"")</f>
        <v>Calculator</v>
      </c>
      <c r="C49" s="6" t="str">
        <f>IFERROR(INDEX('Inventory-Master'!$C:$C,IFERROR(SMALL($A$58:$A$61,4),"")),"")</f>
        <v>Office Equipment</v>
      </c>
      <c r="D49" s="6">
        <f>IFERROR(INDEX('Inventory-Master'!$F:$F,IFERROR(SMALL($A$58:$A$61,4),"")),"")</f>
        <v>10</v>
      </c>
      <c r="E49" s="6">
        <f>IFERROR(INDEX('Inventory-Master'!$E:$E,IFERROR(SMALL($A$58:$A$61,4),"")),"")</f>
        <v>10</v>
      </c>
      <c r="F49" s="6">
        <f>IFERROR(INDEX('Inventory-Master'!$I:$I,IFERROR(SMALL($A$58:$A$61,4),"")),"")</f>
        <v>10</v>
      </c>
    </row>
    <row r="50" ht="15" customHeight="1" spans="1:6">
      <c r="A50" s="6" t="str">
        <f>IFERROR(INDEX('Inventory-Master'!$A:$A,IFERROR(SMALL($A$58:$A$61,5),"")),"")</f>
        <v/>
      </c>
      <c r="B50" s="3" t="str">
        <f>IFERROR(INDEX('Inventory-Master'!$B:$B,IFERROR(SMALL($A$58:$A$61,5),"")),"")</f>
        <v/>
      </c>
      <c r="C50" s="6" t="str">
        <f>IFERROR(INDEX('Inventory-Master'!$C:$C,IFERROR(SMALL($A$58:$A$61,5),"")),"")</f>
        <v/>
      </c>
      <c r="D50" s="6" t="str">
        <f>IFERROR(INDEX('Inventory-Master'!$F:$F,IFERROR(SMALL($A$58:$A$61,5),"")),"")</f>
        <v/>
      </c>
      <c r="E50" s="6" t="str">
        <f>IFERROR(INDEX('Inventory-Master'!$E:$E,IFERROR(SMALL($A$58:$A$61,5),"")),"")</f>
        <v/>
      </c>
      <c r="F50" s="6" t="str">
        <f>IFERROR(INDEX('Inventory-Master'!$I:$I,IFERROR(SMALL($A$58:$A$61,5),"")),"")</f>
        <v/>
      </c>
    </row>
    <row r="51" ht="15" customHeight="1" spans="1:6">
      <c r="A51" s="6" t="str">
        <f>IFERROR(INDEX('Inventory-Master'!$A:$A,IFERROR(SMALL($A$58:$A$61,6),"")),"")</f>
        <v/>
      </c>
      <c r="B51" s="3" t="str">
        <f>IFERROR(INDEX('Inventory-Master'!$B:$B,IFERROR(SMALL($A$58:$A$61,6),"")),"")</f>
        <v/>
      </c>
      <c r="C51" s="6" t="str">
        <f>IFERROR(INDEX('Inventory-Master'!$C:$C,IFERROR(SMALL($A$58:$A$61,6),"")),"")</f>
        <v/>
      </c>
      <c r="D51" s="6" t="str">
        <f>IFERROR(INDEX('Inventory-Master'!$F:$F,IFERROR(SMALL($A$58:$A$61,6),"")),"")</f>
        <v/>
      </c>
      <c r="E51" s="6" t="str">
        <f>IFERROR(INDEX('Inventory-Master'!$E:$E,IFERROR(SMALL($A$58:$A$61,6),"")),"")</f>
        <v/>
      </c>
      <c r="F51" s="6" t="str">
        <f>IFERROR(INDEX('Inventory-Master'!$I:$I,IFERROR(SMALL($A$58:$A$61,6),"")),"")</f>
        <v/>
      </c>
    </row>
    <row r="52" ht="15" customHeight="1" spans="1:6">
      <c r="A52" s="6" t="str">
        <f>IFERROR(INDEX('Inventory-Master'!$A:$A,IFERROR(SMALL($A$58:$A$61,7),"")),"")</f>
        <v/>
      </c>
      <c r="B52" s="3" t="str">
        <f>IFERROR(INDEX('Inventory-Master'!$B:$B,IFERROR(SMALL($A$58:$A$61,7),"")),"")</f>
        <v/>
      </c>
      <c r="C52" s="6" t="str">
        <f>IFERROR(INDEX('Inventory-Master'!$C:$C,IFERROR(SMALL($A$58:$A$61,7),"")),"")</f>
        <v/>
      </c>
      <c r="D52" s="6" t="str">
        <f>IFERROR(INDEX('Inventory-Master'!$F:$F,IFERROR(SMALL($A$58:$A$61,7),"")),"")</f>
        <v/>
      </c>
      <c r="E52" s="6" t="str">
        <f>IFERROR(INDEX('Inventory-Master'!$E:$E,IFERROR(SMALL($A$58:$A$61,7),"")),"")</f>
        <v/>
      </c>
      <c r="F52" s="6" t="str">
        <f>IFERROR(INDEX('Inventory-Master'!$I:$I,IFERROR(SMALL($A$58:$A$61,7),"")),"")</f>
        <v/>
      </c>
    </row>
    <row r="53" ht="15" customHeight="1" spans="1:6">
      <c r="A53" s="6" t="str">
        <f>IFERROR(INDEX('Inventory-Master'!$A:$A,IFERROR(SMALL($P$3:$P$31,8),"")),"")</f>
        <v/>
      </c>
      <c r="B53" s="3" t="str">
        <f>IFERROR(INDEX('Inventory-Master'!$B:$B,IFERROR(SMALL($A$58:$A$61,8),"")),"")</f>
        <v/>
      </c>
      <c r="C53" s="6" t="str">
        <f>IFERROR(INDEX('Inventory-Master'!$C:$C,IFERROR(SMALL($A$58:$A$61,8),"")),"")</f>
        <v/>
      </c>
      <c r="D53" s="6" t="str">
        <f>IFERROR(INDEX('Inventory-Master'!$F:$F,IFERROR(SMALL($A$58:$A$61,8),"")),"")</f>
        <v/>
      </c>
      <c r="E53" s="6" t="str">
        <f>IFERROR(INDEX('Inventory-Master'!$E:$E,IFERROR(SMALL($A$58:$A$61,8),"")),"")</f>
        <v/>
      </c>
      <c r="F53" s="6" t="str">
        <f>IFERROR(INDEX('Inventory-Master'!$I:$I,IFERROR(SMALL($A$58:$A$61,8),"")),"")</f>
        <v/>
      </c>
    </row>
    <row r="54" ht="15" customHeight="1" spans="1:6">
      <c r="A54" s="6" t="str">
        <f>IFERROR(INDEX('Inventory-Master'!$A:$A,IFERROR(SMALL($A$58:$A$61,9),"")),"")</f>
        <v/>
      </c>
      <c r="B54" s="3" t="str">
        <f>IFERROR(INDEX('Inventory-Master'!$B:$B,IFERROR(SMALL($A$58:$A$61,9),"")),"")</f>
        <v/>
      </c>
      <c r="C54" s="6" t="str">
        <f>IFERROR(INDEX('Inventory-Master'!$C:$C,IFERROR(SMALL($A$58:$A$61,9),"")),"")</f>
        <v/>
      </c>
      <c r="D54" s="6" t="str">
        <f>IFERROR(INDEX('Inventory-Master'!$F:$F,IFERROR(SMALL($A$58:$A$61,9),"")),"")</f>
        <v/>
      </c>
      <c r="E54" s="6" t="str">
        <f>IFERROR(INDEX('Inventory-Master'!$E:$E,IFERROR(SMALL($A$58:$A$61,9),"")),"")</f>
        <v/>
      </c>
      <c r="F54" s="6" t="str">
        <f>IFERROR(INDEX('Inventory-Master'!$I:$I,IFERROR(SMALL($A$58:$A$61,9),"")),"")</f>
        <v/>
      </c>
    </row>
    <row r="55" ht="15" customHeight="1" spans="1:6">
      <c r="A55" s="6" t="str">
        <f>IFERROR(INDEX('Inventory-Master'!$A:$A,IFERROR(SMALL($A$58:$A$61,10),"")),"")</f>
        <v/>
      </c>
      <c r="B55" s="3" t="str">
        <f>IFERROR(INDEX('Inventory-Master'!$B:$B,IFERROR(SMALL($A$58:$A$61,10),"")),"")</f>
        <v/>
      </c>
      <c r="C55" s="6" t="str">
        <f>IFERROR(INDEX('Inventory-Master'!$C:$C,IFERROR(SMALL($A$58:$A$61,10),"")),"")</f>
        <v/>
      </c>
      <c r="D55" s="6" t="str">
        <f>IFERROR(INDEX('Inventory-Master'!$F:$F,IFERROR(SMALL($A$58:$A$61,10),"")),"")</f>
        <v/>
      </c>
      <c r="E55" s="6" t="str">
        <f>IFERROR(INDEX('Inventory-Master'!$E:$E,IFERROR(SMALL($A$58:$A$61,10),"")),"")</f>
        <v/>
      </c>
      <c r="F55" s="6" t="str">
        <f>IFERROR(INDEX('Inventory-Master'!$I:$I,IFERROR(SMALL($A$58:$A$61,10),"")),"")</f>
        <v/>
      </c>
    </row>
    <row r="57" ht="15" customHeight="1" spans="1:6">
      <c r="A57" s="2" t="s">
        <v>45</v>
      </c>
      <c r="B57" s="50"/>
      <c r="C57" s="50"/>
      <c r="D57" s="50"/>
      <c r="E57" s="50"/>
      <c r="F57" s="50"/>
    </row>
    <row r="58" ht="15" customHeight="1" spans="1:6">
      <c r="A58" s="6">
        <f>IF('Inventory-Master'!J5="Low Stock",ROW('Inventory-Master'!J5),"")</f>
        <v>5</v>
      </c>
      <c r="B58" s="50"/>
      <c r="C58" s="50"/>
      <c r="D58" s="50"/>
      <c r="E58" s="50"/>
      <c r="F58" s="50"/>
    </row>
    <row r="59" spans="1:6">
      <c r="A59" s="6">
        <f>IF('Inventory-Master'!J23="Low Stock",ROW('Inventory-Master'!J23),"")</f>
        <v>23</v>
      </c>
    </row>
    <row r="60" spans="1:6">
      <c r="A60" s="6">
        <f>IF('Inventory-Master'!J28="Low Stock",ROW('Inventory-Master'!J28),"")</f>
        <v>28</v>
      </c>
    </row>
    <row r="61" spans="1:6">
      <c r="A61" s="6">
        <f>IF('Inventory-Master'!J32="Low Stock",ROW('Inventory-Master'!J32),"")</f>
        <v>32</v>
      </c>
    </row>
    <row r="62" spans="1:6">
      <c r="A62" s="6"/>
    </row>
    <row r="63" ht="21.75" customHeight="1" spans="1:6">
      <c r="A63" s="51" t="s">
        <v>46</v>
      </c>
    </row>
    <row r="65" ht="15" customHeight="1" spans="1:9">
      <c r="A65" s="52" t="s">
        <v>47</v>
      </c>
      <c r="B65" s="53" t="s">
        <v>48</v>
      </c>
      <c r="E65" s="54"/>
      <c r="F65" s="54"/>
      <c r="H65" s="54"/>
      <c r="I65" s="54"/>
    </row>
    <row r="66" ht="15" customHeight="1" spans="1:9">
      <c r="E66" s="55"/>
      <c r="H66" s="55"/>
    </row>
    <row r="67" ht="15" customHeight="1" spans="1:9">
      <c r="A67" s="56" t="s">
        <v>14</v>
      </c>
      <c r="B67" s="9" t="str">
        <f>IFERROR(_xlfn.XLOOKUP($B$65,'Inventory-Master'!$B:$B,'Inventory-Master'!$C:$C),"Select an item above")</f>
        <v>Writing Instruments</v>
      </c>
    </row>
    <row r="68" ht="15" customHeight="1" spans="1:9">
      <c r="A68" s="56" t="s">
        <v>49</v>
      </c>
      <c r="B68" s="9" t="str">
        <f>IFERROR(_xlfn.XLOOKUP($B$65,'Inventory-Master'!$B:$B,'Inventory-Master'!$D:$D),"")</f>
        <v>Piece</v>
      </c>
    </row>
    <row r="69" ht="15" customHeight="1" spans="1:9">
      <c r="A69" s="56" t="s">
        <v>42</v>
      </c>
      <c r="B69" s="9">
        <f>IFERROR(_xlfn.XLOOKUP($B$65,'Inventory-Master'!$B:$B,'Inventory-Master'!$F:$F),"")</f>
        <v>60</v>
      </c>
    </row>
    <row r="70" ht="15" customHeight="1" spans="1:9">
      <c r="A70" s="56" t="s">
        <v>50</v>
      </c>
      <c r="B70" s="9">
        <f>IFERROR(_xlfn.XLOOKUP($B$65,'Inventory-Master'!$B:$B,'Inventory-Master'!$G:$G),"")</f>
        <v>48</v>
      </c>
    </row>
    <row r="71" ht="15" customHeight="1" spans="1:9">
      <c r="A71" s="56" t="s">
        <v>51</v>
      </c>
      <c r="B71" s="9" t="str">
        <f>IFERROR(_xlfn.XLOOKUP($B$65,'Inventory-Master'!$B:$B,'Inventory-Master'!$J:$J),"")</f>
        <v>OK</v>
      </c>
    </row>
    <row r="72" ht="15" customHeight="1" spans="1:9">
      <c r="A72" s="56" t="s">
        <v>52</v>
      </c>
      <c r="B72" s="9" t="str">
        <f>IFERROR(_xlfn.XLOOKUP($B$65,'Inventory-Master'!$B:$B,'Inventory-Master'!$K:$K),"")</f>
        <v>Signature Pens &amp; More</v>
      </c>
    </row>
    <row r="75" ht="15" customHeight="1" spans="1:9">
      <c r="A75" s="4"/>
    </row>
    <row r="76" ht="15" customHeight="1"/>
  </sheetData>
  <mergeCells count="2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7:B7"/>
    <mergeCell ref="C7:D7"/>
    <mergeCell ref="E7:F7"/>
    <mergeCell ref="G7:H7"/>
    <mergeCell ref="I7:J7"/>
    <mergeCell ref="K7:L7"/>
    <mergeCell ref="A44:F44"/>
    <mergeCell ref="A63:L63"/>
    <mergeCell ref="A1:L2"/>
    <mergeCell ref="A75:L76"/>
  </mergeCells>
  <conditionalFormatting sqref="A58:A62">
    <cfRule type="cellIs" dxfId="52" priority="1" operator="equal">
      <formula>""</formula>
    </cfRule>
  </conditionalFormatting>
  <conditionalFormatting sqref="A10:B17">
    <cfRule type="cellIs" dxfId="52" priority="5" operator="equal">
      <formula>""</formula>
    </cfRule>
  </conditionalFormatting>
  <conditionalFormatting sqref="H10:I17">
    <cfRule type="cellIs" dxfId="52" priority="4" operator="equal">
      <formula>""</formula>
    </cfRule>
  </conditionalFormatting>
  <conditionalFormatting sqref="A26:B30">
    <cfRule type="cellIs" dxfId="52" priority="6" operator="equal">
      <formula>""</formula>
    </cfRule>
  </conditionalFormatting>
  <conditionalFormatting sqref="H36:I41">
    <cfRule type="cellIs" dxfId="52" priority="3" operator="equal">
      <formula>""</formula>
    </cfRule>
  </conditionalFormatting>
  <conditionalFormatting sqref="A46:F55">
    <cfRule type="cellIs" dxfId="52" priority="8" operator="equal">
      <formula>""</formula>
    </cfRule>
  </conditionalFormatting>
  <dataValidations count="1">
    <dataValidation type="list" allowBlank="1" sqref="B65">
      <formula1>ItemList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2"/>
  <tableParts count="5"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L32"/>
  <sheetViews>
    <sheetView showGridLines="0" workbookViewId="0">
      <pane ySplit="2" topLeftCell="A6" activePane="bottomLeft" state="frozen"/>
      <selection/>
      <selection pane="bottomLeft" activeCell="G3" sqref="G3"/>
    </sheetView>
  </sheetViews>
  <sheetFormatPr defaultColWidth="8.67592592592593" defaultRowHeight="14.4"/>
  <cols>
    <col min="1" max="1" width="11" customWidth="1"/>
    <col min="2" max="2" width="24" customWidth="1"/>
    <col min="3" max="3" width="19" customWidth="1"/>
    <col min="4" max="4" width="9" customWidth="1"/>
    <col min="5" max="6" width="13" customWidth="1"/>
    <col min="7" max="7" width="12" customWidth="1"/>
    <col min="8" max="8" width="14" customWidth="1"/>
    <col min="9" max="9" width="18" customWidth="1"/>
    <col min="10" max="10" width="12" customWidth="1"/>
    <col min="11" max="11" width="22" customWidth="1"/>
    <col min="12" max="12" width="15" customWidth="1"/>
  </cols>
  <sheetData>
    <row r="1" ht="22.8" spans="1:12">
      <c r="A1" s="1" t="s">
        <v>53</v>
      </c>
      <c r="L1" s="1"/>
    </row>
    <row r="2" ht="27.75" customHeight="1" spans="1:12">
      <c r="A2" s="2" t="s">
        <v>40</v>
      </c>
      <c r="B2" s="2" t="s">
        <v>41</v>
      </c>
      <c r="C2" s="2" t="s">
        <v>14</v>
      </c>
      <c r="D2" s="2" t="s">
        <v>49</v>
      </c>
      <c r="E2" s="2" t="s">
        <v>43</v>
      </c>
      <c r="F2" s="2" t="s">
        <v>42</v>
      </c>
      <c r="G2" s="2" t="s">
        <v>50</v>
      </c>
      <c r="H2" s="2" t="s">
        <v>54</v>
      </c>
      <c r="I2" s="2" t="s">
        <v>55</v>
      </c>
      <c r="J2" s="2" t="s">
        <v>51</v>
      </c>
      <c r="K2" s="2" t="s">
        <v>52</v>
      </c>
      <c r="L2" s="2" t="s">
        <v>56</v>
      </c>
    </row>
    <row r="3" ht="15" customHeight="1" spans="1:12">
      <c r="A3" s="6" t="s">
        <v>57</v>
      </c>
      <c r="B3" s="3" t="s">
        <v>58</v>
      </c>
      <c r="C3" s="3" t="s">
        <v>2</v>
      </c>
      <c r="D3" s="6" t="s">
        <v>59</v>
      </c>
      <c r="E3" s="6">
        <v>5</v>
      </c>
      <c r="F3" s="6">
        <v>10</v>
      </c>
      <c r="G3" s="7">
        <v>130</v>
      </c>
      <c r="H3" s="7">
        <f t="shared" ref="H3:H32" si="0">F3*G3</f>
        <v>1300</v>
      </c>
      <c r="I3" s="6">
        <f t="shared" ref="I3:I32" si="1">IF(F3&lt;=E3,(E3*2)-F3,0)</f>
        <v>0</v>
      </c>
      <c r="J3" s="6" t="str">
        <f t="shared" ref="J3:J32" si="2">IF(F3&lt;=E3,"Low Stock",IF(F3&lt;=E3*1.5,"Monitor","OK"))</f>
        <v>OK</v>
      </c>
      <c r="K3" s="3" t="s">
        <v>60</v>
      </c>
      <c r="L3" s="12">
        <v>46086</v>
      </c>
    </row>
    <row r="4" ht="15" customHeight="1" spans="1:12">
      <c r="A4" s="6" t="s">
        <v>61</v>
      </c>
      <c r="B4" s="3" t="s">
        <v>62</v>
      </c>
      <c r="C4" s="3" t="s">
        <v>9</v>
      </c>
      <c r="D4" s="6" t="s">
        <v>63</v>
      </c>
      <c r="E4" s="6">
        <v>10</v>
      </c>
      <c r="F4" s="6">
        <v>20</v>
      </c>
      <c r="G4" s="7">
        <v>70</v>
      </c>
      <c r="H4" s="7">
        <f t="shared" si="0"/>
        <v>1400</v>
      </c>
      <c r="I4" s="6">
        <f t="shared" si="1"/>
        <v>0</v>
      </c>
      <c r="J4" s="6" t="str">
        <f t="shared" si="2"/>
        <v>OK</v>
      </c>
      <c r="K4" s="3" t="s">
        <v>64</v>
      </c>
      <c r="L4" s="12">
        <v>46133</v>
      </c>
    </row>
    <row r="5" ht="15" customHeight="1" spans="1:12">
      <c r="A5" s="6" t="s">
        <v>65</v>
      </c>
      <c r="B5" s="3" t="s">
        <v>66</v>
      </c>
      <c r="C5" s="3" t="s">
        <v>10</v>
      </c>
      <c r="D5" s="6" t="s">
        <v>67</v>
      </c>
      <c r="E5" s="6">
        <v>30</v>
      </c>
      <c r="F5" s="6">
        <v>30</v>
      </c>
      <c r="G5" s="7">
        <v>35</v>
      </c>
      <c r="H5" s="7">
        <f t="shared" si="0"/>
        <v>1050</v>
      </c>
      <c r="I5" s="6">
        <f t="shared" si="1"/>
        <v>30</v>
      </c>
      <c r="J5" s="6" t="str">
        <f t="shared" si="2"/>
        <v>Low Stock</v>
      </c>
      <c r="K5" s="3" t="s">
        <v>68</v>
      </c>
      <c r="L5" s="12">
        <v>46025</v>
      </c>
    </row>
    <row r="6" ht="15" customHeight="1" spans="1:12">
      <c r="A6" s="6" t="s">
        <v>69</v>
      </c>
      <c r="B6" s="3" t="s">
        <v>70</v>
      </c>
      <c r="C6" s="3" t="s">
        <v>10</v>
      </c>
      <c r="D6" s="6" t="s">
        <v>63</v>
      </c>
      <c r="E6" s="6">
        <v>30</v>
      </c>
      <c r="F6" s="6">
        <v>90</v>
      </c>
      <c r="G6" s="7">
        <v>40</v>
      </c>
      <c r="H6" s="7">
        <f t="shared" si="0"/>
        <v>3600</v>
      </c>
      <c r="I6" s="6">
        <f t="shared" si="1"/>
        <v>0</v>
      </c>
      <c r="J6" s="6" t="str">
        <f t="shared" si="2"/>
        <v>OK</v>
      </c>
      <c r="K6" s="3" t="s">
        <v>68</v>
      </c>
      <c r="L6" s="12">
        <v>46146</v>
      </c>
    </row>
    <row r="7" ht="15" customHeight="1" spans="1:12">
      <c r="A7" s="6" t="s">
        <v>71</v>
      </c>
      <c r="B7" s="3" t="s">
        <v>72</v>
      </c>
      <c r="C7" s="3" t="s">
        <v>9</v>
      </c>
      <c r="D7" s="6" t="s">
        <v>63</v>
      </c>
      <c r="E7" s="6">
        <v>5</v>
      </c>
      <c r="F7" s="6">
        <v>15</v>
      </c>
      <c r="G7" s="7">
        <v>100</v>
      </c>
      <c r="H7" s="7">
        <f t="shared" si="0"/>
        <v>1500</v>
      </c>
      <c r="I7" s="6">
        <f t="shared" si="1"/>
        <v>0</v>
      </c>
      <c r="J7" s="6" t="str">
        <f t="shared" si="2"/>
        <v>OK</v>
      </c>
      <c r="K7" s="3" t="s">
        <v>64</v>
      </c>
      <c r="L7" s="12">
        <v>46100</v>
      </c>
    </row>
    <row r="8" ht="15" customHeight="1" spans="1:12">
      <c r="A8" s="6" t="s">
        <v>73</v>
      </c>
      <c r="B8" s="3" t="s">
        <v>74</v>
      </c>
      <c r="C8" s="3" t="s">
        <v>9</v>
      </c>
      <c r="D8" s="6" t="s">
        <v>63</v>
      </c>
      <c r="E8" s="6">
        <v>10</v>
      </c>
      <c r="F8" s="6">
        <v>20</v>
      </c>
      <c r="G8" s="7">
        <v>50</v>
      </c>
      <c r="H8" s="7">
        <f t="shared" si="0"/>
        <v>1000</v>
      </c>
      <c r="I8" s="6">
        <f t="shared" si="1"/>
        <v>0</v>
      </c>
      <c r="J8" s="6" t="str">
        <f t="shared" si="2"/>
        <v>OK</v>
      </c>
      <c r="K8" s="3" t="s">
        <v>64</v>
      </c>
      <c r="L8" s="12">
        <v>46039</v>
      </c>
    </row>
    <row r="9" ht="15" customHeight="1" spans="1:12">
      <c r="A9" s="6" t="s">
        <v>75</v>
      </c>
      <c r="B9" s="3" t="s">
        <v>48</v>
      </c>
      <c r="C9" s="3" t="s">
        <v>9</v>
      </c>
      <c r="D9" s="6" t="s">
        <v>67</v>
      </c>
      <c r="E9" s="6">
        <v>30</v>
      </c>
      <c r="F9" s="6">
        <v>60</v>
      </c>
      <c r="G9" s="7">
        <v>48</v>
      </c>
      <c r="H9" s="7">
        <f t="shared" si="0"/>
        <v>2880</v>
      </c>
      <c r="I9" s="6">
        <f t="shared" si="1"/>
        <v>0</v>
      </c>
      <c r="J9" s="6" t="str">
        <f t="shared" si="2"/>
        <v>OK</v>
      </c>
      <c r="K9" s="3" t="s">
        <v>64</v>
      </c>
      <c r="L9" s="12">
        <v>46055</v>
      </c>
    </row>
    <row r="10" ht="15" customHeight="1" spans="1:12">
      <c r="A10" s="6" t="s">
        <v>76</v>
      </c>
      <c r="B10" s="3" t="s">
        <v>77</v>
      </c>
      <c r="C10" s="3" t="s">
        <v>9</v>
      </c>
      <c r="D10" s="6" t="s">
        <v>67</v>
      </c>
      <c r="E10" s="6">
        <v>30</v>
      </c>
      <c r="F10" s="6">
        <v>50</v>
      </c>
      <c r="G10" s="7">
        <v>15</v>
      </c>
      <c r="H10" s="7">
        <f t="shared" si="0"/>
        <v>750</v>
      </c>
      <c r="I10" s="6">
        <f t="shared" si="1"/>
        <v>0</v>
      </c>
      <c r="J10" s="6" t="str">
        <f t="shared" si="2"/>
        <v>OK</v>
      </c>
      <c r="K10" s="3" t="s">
        <v>64</v>
      </c>
      <c r="L10" s="12">
        <v>46036</v>
      </c>
    </row>
    <row r="11" ht="15" customHeight="1" spans="1:12">
      <c r="A11" s="6" t="s">
        <v>78</v>
      </c>
      <c r="B11" s="3" t="s">
        <v>79</v>
      </c>
      <c r="C11" s="3" t="s">
        <v>9</v>
      </c>
      <c r="D11" s="6" t="s">
        <v>67</v>
      </c>
      <c r="E11" s="6">
        <v>30</v>
      </c>
      <c r="F11" s="6">
        <v>55</v>
      </c>
      <c r="G11" s="7">
        <v>15</v>
      </c>
      <c r="H11" s="7">
        <f t="shared" si="0"/>
        <v>825</v>
      </c>
      <c r="I11" s="6">
        <f t="shared" si="1"/>
        <v>0</v>
      </c>
      <c r="J11" s="6" t="str">
        <f t="shared" si="2"/>
        <v>OK</v>
      </c>
      <c r="K11" s="3" t="s">
        <v>64</v>
      </c>
      <c r="L11" s="12">
        <v>46115</v>
      </c>
    </row>
    <row r="12" ht="15" customHeight="1" spans="1:12">
      <c r="A12" s="6" t="s">
        <v>80</v>
      </c>
      <c r="B12" s="3" t="s">
        <v>81</v>
      </c>
      <c r="C12" s="3" t="s">
        <v>10</v>
      </c>
      <c r="D12" s="6" t="s">
        <v>67</v>
      </c>
      <c r="E12" s="6">
        <v>30</v>
      </c>
      <c r="F12" s="6">
        <v>90</v>
      </c>
      <c r="G12" s="7">
        <v>15</v>
      </c>
      <c r="H12" s="7">
        <f t="shared" si="0"/>
        <v>1350</v>
      </c>
      <c r="I12" s="6">
        <f t="shared" si="1"/>
        <v>0</v>
      </c>
      <c r="J12" s="6" t="str">
        <f t="shared" si="2"/>
        <v>OK</v>
      </c>
      <c r="K12" s="3" t="s">
        <v>68</v>
      </c>
      <c r="L12" s="12">
        <v>46056</v>
      </c>
    </row>
    <row r="13" ht="15" customHeight="1" spans="1:12">
      <c r="A13" s="6" t="s">
        <v>82</v>
      </c>
      <c r="B13" s="3" t="s">
        <v>83</v>
      </c>
      <c r="C13" s="3" t="s">
        <v>10</v>
      </c>
      <c r="D13" s="6" t="s">
        <v>84</v>
      </c>
      <c r="E13" s="6">
        <v>5</v>
      </c>
      <c r="F13" s="6">
        <v>15</v>
      </c>
      <c r="G13" s="7">
        <v>45</v>
      </c>
      <c r="H13" s="7">
        <f t="shared" si="0"/>
        <v>675</v>
      </c>
      <c r="I13" s="6">
        <f t="shared" si="1"/>
        <v>0</v>
      </c>
      <c r="J13" s="6" t="str">
        <f t="shared" si="2"/>
        <v>OK</v>
      </c>
      <c r="K13" s="3" t="s">
        <v>68</v>
      </c>
      <c r="L13" s="12">
        <v>46156</v>
      </c>
    </row>
    <row r="14" ht="15" customHeight="1" spans="1:12">
      <c r="A14" s="6" t="s">
        <v>85</v>
      </c>
      <c r="B14" s="3" t="s">
        <v>86</v>
      </c>
      <c r="C14" s="3" t="s">
        <v>10</v>
      </c>
      <c r="D14" s="6" t="s">
        <v>67</v>
      </c>
      <c r="E14" s="6">
        <v>30</v>
      </c>
      <c r="F14" s="6">
        <v>40</v>
      </c>
      <c r="G14" s="7">
        <v>10</v>
      </c>
      <c r="H14" s="7">
        <f t="shared" si="0"/>
        <v>400</v>
      </c>
      <c r="I14" s="6">
        <f t="shared" si="1"/>
        <v>0</v>
      </c>
      <c r="J14" s="6" t="str">
        <f t="shared" si="2"/>
        <v>Monitor</v>
      </c>
      <c r="K14" s="3" t="s">
        <v>68</v>
      </c>
      <c r="L14" s="12">
        <v>46049</v>
      </c>
    </row>
    <row r="15" ht="15" customHeight="1" spans="1:12">
      <c r="A15" s="6" t="s">
        <v>87</v>
      </c>
      <c r="B15" s="3" t="s">
        <v>88</v>
      </c>
      <c r="C15" s="3" t="s">
        <v>10</v>
      </c>
      <c r="D15" s="6" t="s">
        <v>63</v>
      </c>
      <c r="E15" s="6">
        <v>5</v>
      </c>
      <c r="F15" s="6">
        <v>15</v>
      </c>
      <c r="G15" s="7">
        <v>35</v>
      </c>
      <c r="H15" s="7">
        <f t="shared" si="0"/>
        <v>525</v>
      </c>
      <c r="I15" s="6">
        <f t="shared" si="1"/>
        <v>0</v>
      </c>
      <c r="J15" s="6" t="str">
        <f t="shared" si="2"/>
        <v>OK</v>
      </c>
      <c r="K15" s="3" t="s">
        <v>68</v>
      </c>
      <c r="L15" s="12">
        <v>46146</v>
      </c>
    </row>
    <row r="16" ht="15" customHeight="1" spans="1:12">
      <c r="A16" s="6" t="s">
        <v>89</v>
      </c>
      <c r="B16" s="3" t="s">
        <v>90</v>
      </c>
      <c r="C16" s="3" t="s">
        <v>10</v>
      </c>
      <c r="D16" s="6" t="s">
        <v>63</v>
      </c>
      <c r="E16" s="6">
        <v>20</v>
      </c>
      <c r="F16" s="6">
        <v>50</v>
      </c>
      <c r="G16" s="7">
        <v>45</v>
      </c>
      <c r="H16" s="7">
        <f t="shared" si="0"/>
        <v>2250</v>
      </c>
      <c r="I16" s="6">
        <f t="shared" si="1"/>
        <v>0</v>
      </c>
      <c r="J16" s="6" t="str">
        <f t="shared" si="2"/>
        <v>OK</v>
      </c>
      <c r="K16" s="3" t="s">
        <v>68</v>
      </c>
      <c r="L16" s="12">
        <v>46074</v>
      </c>
    </row>
    <row r="17" ht="15" customHeight="1" spans="1:12">
      <c r="A17" s="6" t="s">
        <v>91</v>
      </c>
      <c r="B17" s="3" t="s">
        <v>92</v>
      </c>
      <c r="C17" s="3" t="s">
        <v>10</v>
      </c>
      <c r="D17" s="6" t="s">
        <v>63</v>
      </c>
      <c r="E17" s="6">
        <v>10</v>
      </c>
      <c r="F17" s="6">
        <v>20</v>
      </c>
      <c r="G17" s="7">
        <v>45</v>
      </c>
      <c r="H17" s="7">
        <f t="shared" si="0"/>
        <v>900</v>
      </c>
      <c r="I17" s="6">
        <f t="shared" si="1"/>
        <v>0</v>
      </c>
      <c r="J17" s="6" t="str">
        <f t="shared" si="2"/>
        <v>OK</v>
      </c>
      <c r="K17" s="3" t="s">
        <v>68</v>
      </c>
      <c r="L17" s="12">
        <v>46192</v>
      </c>
    </row>
    <row r="18" ht="15" customHeight="1" spans="1:12">
      <c r="A18" s="6" t="s">
        <v>93</v>
      </c>
      <c r="B18" s="3" t="s">
        <v>94</v>
      </c>
      <c r="C18" s="3" t="s">
        <v>11</v>
      </c>
      <c r="D18" s="6" t="s">
        <v>63</v>
      </c>
      <c r="E18" s="6">
        <v>5</v>
      </c>
      <c r="F18" s="6">
        <v>10</v>
      </c>
      <c r="G18" s="7">
        <v>380</v>
      </c>
      <c r="H18" s="7">
        <f t="shared" si="0"/>
        <v>3800</v>
      </c>
      <c r="I18" s="6">
        <f t="shared" si="1"/>
        <v>0</v>
      </c>
      <c r="J18" s="6" t="str">
        <f t="shared" si="2"/>
        <v>OK</v>
      </c>
      <c r="K18" s="3" t="s">
        <v>95</v>
      </c>
      <c r="L18" s="12">
        <v>46041</v>
      </c>
    </row>
    <row r="19" ht="15" customHeight="1" spans="1:12">
      <c r="A19" s="6" t="s">
        <v>96</v>
      </c>
      <c r="B19" s="3" t="s">
        <v>97</v>
      </c>
      <c r="C19" s="3" t="s">
        <v>11</v>
      </c>
      <c r="D19" s="6" t="s">
        <v>67</v>
      </c>
      <c r="E19" s="6">
        <v>10</v>
      </c>
      <c r="F19" s="6">
        <v>15</v>
      </c>
      <c r="G19" s="7">
        <v>150</v>
      </c>
      <c r="H19" s="7">
        <f t="shared" si="0"/>
        <v>2250</v>
      </c>
      <c r="I19" s="6">
        <f t="shared" si="1"/>
        <v>0</v>
      </c>
      <c r="J19" s="6" t="str">
        <f t="shared" si="2"/>
        <v>Monitor</v>
      </c>
      <c r="K19" s="3" t="s">
        <v>95</v>
      </c>
      <c r="L19" s="12">
        <v>46155</v>
      </c>
    </row>
    <row r="20" ht="15" customHeight="1" spans="1:12">
      <c r="A20" s="6" t="s">
        <v>98</v>
      </c>
      <c r="B20" s="3" t="s">
        <v>99</v>
      </c>
      <c r="C20" s="3" t="s">
        <v>11</v>
      </c>
      <c r="D20" s="6" t="s">
        <v>63</v>
      </c>
      <c r="E20" s="6">
        <v>5</v>
      </c>
      <c r="F20" s="6">
        <v>15</v>
      </c>
      <c r="G20" s="7">
        <v>750</v>
      </c>
      <c r="H20" s="7">
        <f t="shared" si="0"/>
        <v>11250</v>
      </c>
      <c r="I20" s="6">
        <f t="shared" si="1"/>
        <v>0</v>
      </c>
      <c r="J20" s="6" t="str">
        <f t="shared" si="2"/>
        <v>OK</v>
      </c>
      <c r="K20" s="3" t="s">
        <v>95</v>
      </c>
      <c r="L20" s="12">
        <v>46030</v>
      </c>
    </row>
    <row r="21" ht="15" customHeight="1" spans="1:12">
      <c r="A21" s="6" t="s">
        <v>100</v>
      </c>
      <c r="B21" s="3" t="s">
        <v>101</v>
      </c>
      <c r="C21" s="3" t="s">
        <v>2</v>
      </c>
      <c r="D21" s="6" t="s">
        <v>84</v>
      </c>
      <c r="E21" s="6">
        <v>10</v>
      </c>
      <c r="F21" s="6">
        <v>30</v>
      </c>
      <c r="G21" s="7">
        <v>150</v>
      </c>
      <c r="H21" s="7">
        <f t="shared" si="0"/>
        <v>4500</v>
      </c>
      <c r="I21" s="6">
        <f t="shared" si="1"/>
        <v>0</v>
      </c>
      <c r="J21" s="6" t="str">
        <f t="shared" si="2"/>
        <v>OK</v>
      </c>
      <c r="K21" s="3" t="s">
        <v>60</v>
      </c>
      <c r="L21" s="12">
        <v>46040</v>
      </c>
    </row>
    <row r="22" ht="15" customHeight="1" spans="1:12">
      <c r="A22" s="6" t="s">
        <v>102</v>
      </c>
      <c r="B22" s="3" t="s">
        <v>103</v>
      </c>
      <c r="C22" s="3" t="s">
        <v>12</v>
      </c>
      <c r="D22" s="6" t="s">
        <v>84</v>
      </c>
      <c r="E22" s="6">
        <v>10</v>
      </c>
      <c r="F22" s="6">
        <v>30</v>
      </c>
      <c r="G22" s="7">
        <v>35</v>
      </c>
      <c r="H22" s="7">
        <f t="shared" si="0"/>
        <v>1050</v>
      </c>
      <c r="I22" s="6">
        <f t="shared" si="1"/>
        <v>0</v>
      </c>
      <c r="J22" s="6" t="str">
        <f t="shared" si="2"/>
        <v>OK</v>
      </c>
      <c r="K22" s="3" t="s">
        <v>104</v>
      </c>
      <c r="L22" s="12">
        <v>46063</v>
      </c>
    </row>
    <row r="23" ht="15" customHeight="1" spans="1:12">
      <c r="A23" s="6" t="s">
        <v>105</v>
      </c>
      <c r="B23" s="3" t="s">
        <v>106</v>
      </c>
      <c r="C23" s="3" t="s">
        <v>12</v>
      </c>
      <c r="D23" s="6" t="s">
        <v>67</v>
      </c>
      <c r="E23" s="6">
        <v>15</v>
      </c>
      <c r="F23" s="6">
        <v>15</v>
      </c>
      <c r="G23" s="7">
        <v>25</v>
      </c>
      <c r="H23" s="7">
        <f t="shared" si="0"/>
        <v>375</v>
      </c>
      <c r="I23" s="6">
        <f t="shared" si="1"/>
        <v>15</v>
      </c>
      <c r="J23" s="6" t="str">
        <f t="shared" si="2"/>
        <v>Low Stock</v>
      </c>
      <c r="K23" s="3" t="s">
        <v>104</v>
      </c>
      <c r="L23" s="12">
        <v>46117</v>
      </c>
    </row>
    <row r="24" ht="15" customHeight="1" spans="1:12">
      <c r="A24" s="6" t="s">
        <v>107</v>
      </c>
      <c r="B24" s="3" t="s">
        <v>108</v>
      </c>
      <c r="C24" s="3" t="s">
        <v>13</v>
      </c>
      <c r="D24" s="6" t="s">
        <v>63</v>
      </c>
      <c r="E24" s="6">
        <v>5</v>
      </c>
      <c r="F24" s="6">
        <v>8</v>
      </c>
      <c r="G24" s="7">
        <v>100</v>
      </c>
      <c r="H24" s="7">
        <f t="shared" si="0"/>
        <v>800</v>
      </c>
      <c r="I24" s="6">
        <f t="shared" si="1"/>
        <v>0</v>
      </c>
      <c r="J24" s="6" t="str">
        <f t="shared" si="2"/>
        <v>OK</v>
      </c>
      <c r="K24" s="3" t="s">
        <v>109</v>
      </c>
      <c r="L24" s="12">
        <v>46146</v>
      </c>
    </row>
    <row r="25" ht="15" customHeight="1" spans="1:12">
      <c r="A25" s="6" t="s">
        <v>110</v>
      </c>
      <c r="B25" s="3" t="s">
        <v>111</v>
      </c>
      <c r="C25" s="3" t="s">
        <v>13</v>
      </c>
      <c r="D25" s="6" t="s">
        <v>63</v>
      </c>
      <c r="E25" s="6">
        <v>5</v>
      </c>
      <c r="F25" s="6">
        <v>9</v>
      </c>
      <c r="G25" s="7">
        <v>100</v>
      </c>
      <c r="H25" s="7">
        <f t="shared" si="0"/>
        <v>900</v>
      </c>
      <c r="I25" s="6">
        <f t="shared" si="1"/>
        <v>0</v>
      </c>
      <c r="J25" s="6" t="str">
        <f t="shared" si="2"/>
        <v>OK</v>
      </c>
      <c r="K25" s="3" t="s">
        <v>109</v>
      </c>
      <c r="L25" s="12">
        <v>46152</v>
      </c>
    </row>
    <row r="26" ht="15" customHeight="1" spans="1:12">
      <c r="A26" s="6" t="s">
        <v>112</v>
      </c>
      <c r="B26" s="3" t="s">
        <v>113</v>
      </c>
      <c r="C26" s="3" t="s">
        <v>13</v>
      </c>
      <c r="D26" s="6" t="s">
        <v>63</v>
      </c>
      <c r="E26" s="6">
        <v>5</v>
      </c>
      <c r="F26" s="6">
        <v>9</v>
      </c>
      <c r="G26" s="7">
        <v>100</v>
      </c>
      <c r="H26" s="7">
        <f t="shared" si="0"/>
        <v>900</v>
      </c>
      <c r="I26" s="6">
        <f t="shared" si="1"/>
        <v>0</v>
      </c>
      <c r="J26" s="6" t="str">
        <f t="shared" si="2"/>
        <v>OK</v>
      </c>
      <c r="K26" s="3" t="s">
        <v>109</v>
      </c>
      <c r="L26" s="12">
        <v>46169</v>
      </c>
    </row>
    <row r="27" ht="15" customHeight="1" spans="1:12">
      <c r="A27" s="6" t="s">
        <v>114</v>
      </c>
      <c r="B27" s="3" t="s">
        <v>115</v>
      </c>
      <c r="C27" s="3" t="s">
        <v>13</v>
      </c>
      <c r="D27" s="6" t="s">
        <v>63</v>
      </c>
      <c r="E27" s="6">
        <v>5</v>
      </c>
      <c r="F27" s="6">
        <v>9</v>
      </c>
      <c r="G27" s="7">
        <v>100</v>
      </c>
      <c r="H27" s="7">
        <f t="shared" si="0"/>
        <v>900</v>
      </c>
      <c r="I27" s="6">
        <f t="shared" si="1"/>
        <v>0</v>
      </c>
      <c r="J27" s="6" t="str">
        <f t="shared" si="2"/>
        <v>OK</v>
      </c>
      <c r="K27" s="3" t="s">
        <v>109</v>
      </c>
      <c r="L27" s="12">
        <v>46179</v>
      </c>
    </row>
    <row r="28" ht="15" customHeight="1" spans="1:12">
      <c r="A28" s="6" t="s">
        <v>116</v>
      </c>
      <c r="B28" s="3" t="s">
        <v>117</v>
      </c>
      <c r="C28" s="3" t="s">
        <v>13</v>
      </c>
      <c r="D28" s="6" t="s">
        <v>67</v>
      </c>
      <c r="E28" s="6">
        <v>5</v>
      </c>
      <c r="F28" s="6">
        <v>5</v>
      </c>
      <c r="G28" s="7">
        <v>3000</v>
      </c>
      <c r="H28" s="7">
        <f t="shared" si="0"/>
        <v>15000</v>
      </c>
      <c r="I28" s="6">
        <f t="shared" si="1"/>
        <v>5</v>
      </c>
      <c r="J28" s="6" t="str">
        <f t="shared" si="2"/>
        <v>Low Stock</v>
      </c>
      <c r="K28" s="3" t="s">
        <v>109</v>
      </c>
      <c r="L28" s="12">
        <v>46041</v>
      </c>
    </row>
    <row r="29" ht="15" customHeight="1" spans="1:12">
      <c r="A29" s="6" t="s">
        <v>118</v>
      </c>
      <c r="B29" s="3" t="s">
        <v>119</v>
      </c>
      <c r="C29" s="3" t="s">
        <v>18</v>
      </c>
      <c r="D29" s="6" t="s">
        <v>63</v>
      </c>
      <c r="E29" s="6">
        <v>5</v>
      </c>
      <c r="F29" s="6">
        <v>10</v>
      </c>
      <c r="G29" s="7">
        <v>600</v>
      </c>
      <c r="H29" s="7">
        <f t="shared" si="0"/>
        <v>6000</v>
      </c>
      <c r="I29" s="6">
        <f t="shared" si="1"/>
        <v>0</v>
      </c>
      <c r="J29" s="6" t="str">
        <f t="shared" si="2"/>
        <v>OK</v>
      </c>
      <c r="K29" s="3" t="s">
        <v>120</v>
      </c>
      <c r="L29" s="12">
        <v>46163</v>
      </c>
    </row>
    <row r="30" ht="15" customHeight="1" spans="1:12">
      <c r="A30" s="6" t="s">
        <v>121</v>
      </c>
      <c r="B30" s="3" t="s">
        <v>122</v>
      </c>
      <c r="C30" s="3" t="s">
        <v>20</v>
      </c>
      <c r="D30" s="6" t="s">
        <v>59</v>
      </c>
      <c r="E30" s="6">
        <v>2</v>
      </c>
      <c r="F30" s="6">
        <v>5</v>
      </c>
      <c r="G30" s="7">
        <v>200</v>
      </c>
      <c r="H30" s="7">
        <f t="shared" si="0"/>
        <v>1000</v>
      </c>
      <c r="I30" s="6">
        <f t="shared" si="1"/>
        <v>0</v>
      </c>
      <c r="J30" s="6" t="str">
        <f t="shared" si="2"/>
        <v>OK</v>
      </c>
      <c r="K30" s="3" t="s">
        <v>123</v>
      </c>
      <c r="L30" s="12">
        <v>46065</v>
      </c>
    </row>
    <row r="31" ht="15" customHeight="1" spans="1:12">
      <c r="A31" s="6" t="s">
        <v>124</v>
      </c>
      <c r="B31" s="3" t="s">
        <v>125</v>
      </c>
      <c r="C31" s="3" t="s">
        <v>20</v>
      </c>
      <c r="D31" s="6" t="s">
        <v>126</v>
      </c>
      <c r="E31" s="6">
        <v>20</v>
      </c>
      <c r="F31" s="6">
        <v>45</v>
      </c>
      <c r="G31" s="7">
        <v>40</v>
      </c>
      <c r="H31" s="7">
        <f t="shared" si="0"/>
        <v>1800</v>
      </c>
      <c r="I31" s="6">
        <f t="shared" si="1"/>
        <v>0</v>
      </c>
      <c r="J31" s="6" t="str">
        <f t="shared" si="2"/>
        <v>OK</v>
      </c>
      <c r="K31" s="3" t="s">
        <v>123</v>
      </c>
      <c r="L31" s="12">
        <v>46040</v>
      </c>
    </row>
    <row r="32" ht="15" customHeight="1" spans="1:12">
      <c r="A32" s="6" t="s">
        <v>127</v>
      </c>
      <c r="B32" s="3" t="s">
        <v>128</v>
      </c>
      <c r="C32" s="3" t="s">
        <v>10</v>
      </c>
      <c r="D32" s="6" t="s">
        <v>67</v>
      </c>
      <c r="E32" s="6">
        <v>10</v>
      </c>
      <c r="F32" s="6">
        <v>10</v>
      </c>
      <c r="G32" s="7">
        <v>400</v>
      </c>
      <c r="H32" s="7">
        <f t="shared" si="0"/>
        <v>4000</v>
      </c>
      <c r="I32" s="6">
        <f t="shared" si="1"/>
        <v>10</v>
      </c>
      <c r="J32" s="6" t="str">
        <f t="shared" si="2"/>
        <v>Low Stock</v>
      </c>
      <c r="K32" s="3" t="s">
        <v>68</v>
      </c>
      <c r="L32" s="12">
        <v>46176</v>
      </c>
    </row>
  </sheetData>
  <mergeCells count="1">
    <mergeCell ref="A1:K1"/>
  </mergeCells>
  <conditionalFormatting sqref="J3:J32">
    <cfRule type="cellIs" dxfId="53" priority="2" operator="equal">
      <formula>"Low Stock"</formula>
    </cfRule>
    <cfRule type="cellIs" dxfId="54" priority="3" operator="equal">
      <formula>"Monitor"</formula>
    </cfRule>
    <cfRule type="cellIs" dxfId="55" priority="4" operator="equal">
      <formula>"OK"</formula>
    </cfRule>
  </conditionalFormatting>
  <dataValidations count="3">
    <dataValidation type="list" sqref="C3:C32">
      <formula1>CategoryList</formula1>
    </dataValidation>
    <dataValidation type="list" sqref="D3:D32">
      <formula1>UnitList</formula1>
    </dataValidation>
    <dataValidation type="list" allowBlank="1" sqref="K3:K32">
      <formula1>SupplierList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J47"/>
  <sheetViews>
    <sheetView showGridLines="0" workbookViewId="0">
      <pane ySplit="2" topLeftCell="A3" activePane="bottomLeft" state="frozen"/>
      <selection/>
      <selection pane="bottomLeft" activeCell="C2" sqref="C2:D10"/>
    </sheetView>
  </sheetViews>
  <sheetFormatPr defaultColWidth="8.67592592592593" defaultRowHeight="14.4"/>
  <cols>
    <col min="1" max="1" width="11" customWidth="1"/>
    <col min="2" max="2" width="13" customWidth="1"/>
    <col min="3" max="3" width="22" customWidth="1"/>
    <col min="4" max="4" width="18" customWidth="1"/>
    <col min="5" max="5" width="12" customWidth="1"/>
    <col min="6" max="6" width="15" customWidth="1"/>
    <col min="7" max="7" width="12" customWidth="1"/>
    <col min="8" max="8" width="13" customWidth="1"/>
    <col min="9" max="9" width="16" customWidth="1"/>
    <col min="10" max="10" width="30" customWidth="1"/>
  </cols>
  <sheetData>
    <row r="1" ht="31.5" customHeight="1" spans="1:10">
      <c r="A1" s="1" t="s">
        <v>129</v>
      </c>
    </row>
    <row r="2" ht="27.75" customHeight="1" spans="1:10">
      <c r="A2" s="2" t="s">
        <v>130</v>
      </c>
      <c r="B2" s="2" t="s">
        <v>131</v>
      </c>
      <c r="C2" s="2" t="s">
        <v>132</v>
      </c>
      <c r="D2" s="2" t="s">
        <v>14</v>
      </c>
      <c r="E2" s="2" t="s">
        <v>16</v>
      </c>
      <c r="F2" s="2" t="s">
        <v>133</v>
      </c>
      <c r="G2" s="2" t="s">
        <v>50</v>
      </c>
      <c r="H2" s="2" t="s">
        <v>134</v>
      </c>
      <c r="I2" s="2" t="s">
        <v>135</v>
      </c>
      <c r="J2" s="2" t="s">
        <v>136</v>
      </c>
    </row>
    <row r="3" ht="15" customHeight="1" spans="1:10">
      <c r="A3" s="6" t="s">
        <v>137</v>
      </c>
      <c r="B3" s="12">
        <v>46030</v>
      </c>
      <c r="C3" s="3" t="s">
        <v>58</v>
      </c>
      <c r="D3" s="6" t="str">
        <f>IFERROR(INDEX('Inventory-Master'!$C$3:$C$32,MATCH(C3,'Inventory-Master'!$B$3:$B$32,0)),"")</f>
        <v>Paper Products</v>
      </c>
      <c r="E3" s="6" t="s">
        <v>25</v>
      </c>
      <c r="F3" s="6">
        <v>15</v>
      </c>
      <c r="G3" s="7">
        <f>IFERROR(INDEX('Inventory-Master'!$G$3:$G$32,MATCH(C3,'Inventory-Master'!$B$3:$B$32,0)),0)</f>
        <v>130</v>
      </c>
      <c r="H3" s="7">
        <f t="shared" ref="H3:H47" si="0">F3*G3</f>
        <v>1950</v>
      </c>
      <c r="I3" s="3" t="s">
        <v>138</v>
      </c>
      <c r="J3" s="3" t="s">
        <v>139</v>
      </c>
    </row>
    <row r="4" ht="15" customHeight="1" spans="1:10">
      <c r="A4" s="6" t="s">
        <v>140</v>
      </c>
      <c r="B4" s="12">
        <v>46081</v>
      </c>
      <c r="C4" s="3" t="s">
        <v>66</v>
      </c>
      <c r="D4" s="6" t="str">
        <f>IFERROR(INDEX('Inventory-Master'!$C$3:$C$32,MATCH(C4,'Inventory-Master'!$B$3:$B$32,0)),"")</f>
        <v>Office Equipment</v>
      </c>
      <c r="E4" s="6" t="s">
        <v>22</v>
      </c>
      <c r="F4" s="6">
        <v>10</v>
      </c>
      <c r="G4" s="7">
        <f>IFERROR(INDEX('Inventory-Master'!$G$3:$G$32,MATCH(C4,'Inventory-Master'!$B$3:$B$32,0)),0)</f>
        <v>35</v>
      </c>
      <c r="H4" s="7">
        <f t="shared" si="0"/>
        <v>350</v>
      </c>
      <c r="I4" s="3" t="s">
        <v>141</v>
      </c>
      <c r="J4" s="3" t="s">
        <v>142</v>
      </c>
    </row>
    <row r="5" ht="15" customHeight="1" spans="1:10">
      <c r="A5" s="6" t="s">
        <v>143</v>
      </c>
      <c r="B5" s="12">
        <v>46094</v>
      </c>
      <c r="C5" s="3" t="s">
        <v>108</v>
      </c>
      <c r="D5" s="6" t="str">
        <f>IFERROR(INDEX('Inventory-Master'!$C$3:$C$32,MATCH(C5,'Inventory-Master'!$B$3:$B$32,0)),"")</f>
        <v>Printing Supplies</v>
      </c>
      <c r="E5" s="6" t="s">
        <v>29</v>
      </c>
      <c r="F5" s="6">
        <v>1</v>
      </c>
      <c r="G5" s="7">
        <f>IFERROR(INDEX('Inventory-Master'!$G$3:$G$32,MATCH(C5,'Inventory-Master'!$B$3:$B$32,0)),0)</f>
        <v>100</v>
      </c>
      <c r="H5" s="7">
        <f t="shared" si="0"/>
        <v>100</v>
      </c>
      <c r="I5" s="3" t="s">
        <v>144</v>
      </c>
      <c r="J5" s="3" t="s">
        <v>139</v>
      </c>
    </row>
    <row r="6" ht="15" customHeight="1" spans="1:10">
      <c r="A6" s="6" t="s">
        <v>145</v>
      </c>
      <c r="B6" s="12">
        <v>46118</v>
      </c>
      <c r="C6" s="3" t="s">
        <v>101</v>
      </c>
      <c r="D6" s="6" t="str">
        <f>IFERROR(INDEX('Inventory-Master'!$C$3:$C$32,MATCH(C6,'Inventory-Master'!$B$3:$B$32,0)),"")</f>
        <v>Paper Products</v>
      </c>
      <c r="E6" s="6" t="s">
        <v>22</v>
      </c>
      <c r="F6" s="6">
        <v>1</v>
      </c>
      <c r="G6" s="7">
        <f>IFERROR(INDEX('Inventory-Master'!$G$3:$G$32,MATCH(C6,'Inventory-Master'!$B$3:$B$32,0)),0)</f>
        <v>150</v>
      </c>
      <c r="H6" s="7">
        <f t="shared" si="0"/>
        <v>150</v>
      </c>
      <c r="I6" s="3" t="s">
        <v>144</v>
      </c>
      <c r="J6" s="3" t="s">
        <v>142</v>
      </c>
    </row>
    <row r="7" ht="15" customHeight="1" spans="1:10">
      <c r="A7" s="6" t="s">
        <v>146</v>
      </c>
      <c r="B7" s="12">
        <v>46156</v>
      </c>
      <c r="C7" s="3" t="s">
        <v>86</v>
      </c>
      <c r="D7" s="6" t="str">
        <f>IFERROR(INDEX('Inventory-Master'!$C$3:$C$32,MATCH(C7,'Inventory-Master'!$B$3:$B$32,0)),"")</f>
        <v>Office Equipment</v>
      </c>
      <c r="E7" s="6" t="s">
        <v>29</v>
      </c>
      <c r="F7" s="6">
        <v>15</v>
      </c>
      <c r="G7" s="7">
        <f>IFERROR(INDEX('Inventory-Master'!$G$3:$G$32,MATCH(C7,'Inventory-Master'!$B$3:$B$32,0)),0)</f>
        <v>10</v>
      </c>
      <c r="H7" s="7">
        <f t="shared" si="0"/>
        <v>150</v>
      </c>
      <c r="I7" s="3" t="s">
        <v>141</v>
      </c>
      <c r="J7" s="3" t="s">
        <v>142</v>
      </c>
    </row>
    <row r="8" ht="15" customHeight="1" spans="1:10">
      <c r="A8" s="6" t="s">
        <v>147</v>
      </c>
      <c r="B8" s="12">
        <v>46177</v>
      </c>
      <c r="C8" s="3" t="s">
        <v>88</v>
      </c>
      <c r="D8" s="6" t="str">
        <f>IFERROR(INDEX('Inventory-Master'!$C$3:$C$32,MATCH(C8,'Inventory-Master'!$B$3:$B$32,0)),"")</f>
        <v>Office Equipment</v>
      </c>
      <c r="E8" s="6" t="s">
        <v>25</v>
      </c>
      <c r="F8" s="6">
        <v>8</v>
      </c>
      <c r="G8" s="7">
        <f>IFERROR(INDEX('Inventory-Master'!$G$3:$G$32,MATCH(C8,'Inventory-Master'!$B$3:$B$32,0)),0)</f>
        <v>35</v>
      </c>
      <c r="H8" s="7">
        <f t="shared" si="0"/>
        <v>280</v>
      </c>
      <c r="I8" s="3" t="s">
        <v>144</v>
      </c>
      <c r="J8" s="3" t="s">
        <v>148</v>
      </c>
    </row>
    <row r="9" ht="15" customHeight="1" spans="1:10">
      <c r="A9" s="6" t="s">
        <v>149</v>
      </c>
      <c r="B9" s="12">
        <v>46036</v>
      </c>
      <c r="C9" s="3" t="s">
        <v>58</v>
      </c>
      <c r="D9" s="6" t="str">
        <f>IFERROR(INDEX('Inventory-Master'!$C$3:$C$32,MATCH(C9,'Inventory-Master'!$B$3:$B$32,0)),"")</f>
        <v>Paper Products</v>
      </c>
      <c r="E9" s="6" t="s">
        <v>25</v>
      </c>
      <c r="F9" s="6">
        <v>10</v>
      </c>
      <c r="G9" s="7">
        <f>IFERROR(INDEX('Inventory-Master'!$G$3:$G$32,MATCH(C9,'Inventory-Master'!$B$3:$B$32,0)),0)</f>
        <v>130</v>
      </c>
      <c r="H9" s="7">
        <f t="shared" si="0"/>
        <v>1300</v>
      </c>
      <c r="I9" s="3" t="s">
        <v>138</v>
      </c>
      <c r="J9" s="3" t="s">
        <v>150</v>
      </c>
    </row>
    <row r="10" ht="15" customHeight="1" spans="1:10">
      <c r="A10" s="6" t="s">
        <v>151</v>
      </c>
      <c r="B10" s="12">
        <v>46075</v>
      </c>
      <c r="C10" s="3" t="s">
        <v>128</v>
      </c>
      <c r="D10" s="6" t="str">
        <f>IFERROR(INDEX('Inventory-Master'!$C$3:$C$32,MATCH(C10,'Inventory-Master'!$B$3:$B$32,0)),"")</f>
        <v>Office Equipment</v>
      </c>
      <c r="E10" s="6" t="s">
        <v>29</v>
      </c>
      <c r="F10" s="6">
        <v>10</v>
      </c>
      <c r="G10" s="7">
        <f>IFERROR(INDEX('Inventory-Master'!$G$3:$G$32,MATCH(C10,'Inventory-Master'!$B$3:$B$32,0)),0)</f>
        <v>400</v>
      </c>
      <c r="H10" s="7">
        <f t="shared" si="0"/>
        <v>4000</v>
      </c>
      <c r="I10" s="3" t="s">
        <v>141</v>
      </c>
      <c r="J10" s="3" t="s">
        <v>150</v>
      </c>
    </row>
    <row r="11" ht="15" customHeight="1" spans="1:10">
      <c r="A11" s="6" t="s">
        <v>152</v>
      </c>
      <c r="B11" s="12">
        <v>46105</v>
      </c>
      <c r="C11" s="3" t="s">
        <v>125</v>
      </c>
      <c r="D11" s="6" t="str">
        <f>IFERROR(INDEX('Inventory-Master'!$C$3:$C$32,MATCH(C11,'Inventory-Master'!$B$3:$B$32,0)),"")</f>
        <v>Packaging Materials</v>
      </c>
      <c r="E11" s="6" t="s">
        <v>22</v>
      </c>
      <c r="F11" s="6">
        <v>8</v>
      </c>
      <c r="G11" s="7">
        <f>IFERROR(INDEX('Inventory-Master'!$G$3:$G$32,MATCH(C11,'Inventory-Master'!$B$3:$B$32,0)),0)</f>
        <v>40</v>
      </c>
      <c r="H11" s="7">
        <f t="shared" si="0"/>
        <v>320</v>
      </c>
      <c r="I11" s="3" t="s">
        <v>141</v>
      </c>
      <c r="J11" s="3" t="s">
        <v>153</v>
      </c>
    </row>
    <row r="12" ht="15" customHeight="1" spans="1:10">
      <c r="A12" s="6" t="s">
        <v>154</v>
      </c>
      <c r="B12" s="12">
        <v>46123</v>
      </c>
      <c r="C12" s="3" t="s">
        <v>88</v>
      </c>
      <c r="D12" s="6" t="str">
        <f>IFERROR(INDEX('Inventory-Master'!$C$3:$C$32,MATCH(C12,'Inventory-Master'!$B$3:$B$32,0)),"")</f>
        <v>Office Equipment</v>
      </c>
      <c r="E12" s="6" t="s">
        <v>22</v>
      </c>
      <c r="F12" s="6">
        <v>3</v>
      </c>
      <c r="G12" s="7">
        <f>IFERROR(INDEX('Inventory-Master'!$G$3:$G$32,MATCH(C12,'Inventory-Master'!$B$3:$B$32,0)),0)</f>
        <v>35</v>
      </c>
      <c r="H12" s="7">
        <f t="shared" si="0"/>
        <v>105</v>
      </c>
      <c r="I12" s="3" t="s">
        <v>144</v>
      </c>
      <c r="J12" s="3" t="s">
        <v>153</v>
      </c>
    </row>
    <row r="13" ht="15" customHeight="1" spans="1:10">
      <c r="A13" s="6" t="s">
        <v>155</v>
      </c>
      <c r="B13" s="12">
        <v>46164</v>
      </c>
      <c r="C13" s="3" t="s">
        <v>88</v>
      </c>
      <c r="D13" s="6" t="str">
        <f>IFERROR(INDEX('Inventory-Master'!$C$3:$C$32,MATCH(C13,'Inventory-Master'!$B$3:$B$32,0)),"")</f>
        <v>Office Equipment</v>
      </c>
      <c r="E13" s="6" t="s">
        <v>27</v>
      </c>
      <c r="F13" s="6">
        <v>8</v>
      </c>
      <c r="G13" s="7">
        <f>IFERROR(INDEX('Inventory-Master'!$G$3:$G$32,MATCH(C13,'Inventory-Master'!$B$3:$B$32,0)),0)</f>
        <v>35</v>
      </c>
      <c r="H13" s="7">
        <f t="shared" si="0"/>
        <v>280</v>
      </c>
      <c r="I13" s="3" t="s">
        <v>138</v>
      </c>
      <c r="J13" s="3" t="s">
        <v>142</v>
      </c>
    </row>
    <row r="14" ht="15" customHeight="1" spans="1:10">
      <c r="A14" s="6" t="s">
        <v>156</v>
      </c>
      <c r="B14" s="12">
        <v>46200</v>
      </c>
      <c r="C14" s="3" t="s">
        <v>58</v>
      </c>
      <c r="D14" s="6" t="str">
        <f>IFERROR(INDEX('Inventory-Master'!$C$3:$C$32,MATCH(C14,'Inventory-Master'!$B$3:$B$32,0)),"")</f>
        <v>Paper Products</v>
      </c>
      <c r="E14" s="6" t="s">
        <v>22</v>
      </c>
      <c r="F14" s="6">
        <v>8</v>
      </c>
      <c r="G14" s="7">
        <f>IFERROR(INDEX('Inventory-Master'!$G$3:$G$32,MATCH(C14,'Inventory-Master'!$B$3:$B$32,0)),0)</f>
        <v>130</v>
      </c>
      <c r="H14" s="7">
        <f t="shared" si="0"/>
        <v>1040</v>
      </c>
      <c r="I14" s="3" t="s">
        <v>144</v>
      </c>
      <c r="J14" s="3" t="s">
        <v>153</v>
      </c>
    </row>
    <row r="15" ht="15" customHeight="1" spans="1:10">
      <c r="A15" s="6" t="s">
        <v>157</v>
      </c>
      <c r="B15" s="12">
        <v>46048</v>
      </c>
      <c r="C15" s="3" t="s">
        <v>101</v>
      </c>
      <c r="D15" s="6" t="str">
        <f>IFERROR(INDEX('Inventory-Master'!$C$3:$C$32,MATCH(C15,'Inventory-Master'!$B$3:$B$32,0)),"")</f>
        <v>Paper Products</v>
      </c>
      <c r="E15" s="6" t="s">
        <v>29</v>
      </c>
      <c r="F15" s="6">
        <v>20</v>
      </c>
      <c r="G15" s="7">
        <f>IFERROR(INDEX('Inventory-Master'!$G$3:$G$32,MATCH(C15,'Inventory-Master'!$B$3:$B$32,0)),0)</f>
        <v>150</v>
      </c>
      <c r="H15" s="7">
        <f t="shared" si="0"/>
        <v>3000</v>
      </c>
      <c r="I15" s="3" t="s">
        <v>138</v>
      </c>
      <c r="J15" s="3" t="s">
        <v>153</v>
      </c>
    </row>
    <row r="16" ht="15" customHeight="1" spans="1:10">
      <c r="A16" s="6" t="s">
        <v>158</v>
      </c>
      <c r="B16" s="12">
        <v>46075</v>
      </c>
      <c r="C16" s="3" t="s">
        <v>48</v>
      </c>
      <c r="D16" s="6" t="str">
        <f>IFERROR(INDEX('Inventory-Master'!$C$3:$C$32,MATCH(C16,'Inventory-Master'!$B$3:$B$32,0)),"")</f>
        <v>Writing Instruments</v>
      </c>
      <c r="E16" s="6" t="s">
        <v>31</v>
      </c>
      <c r="F16" s="6">
        <v>3</v>
      </c>
      <c r="G16" s="7">
        <f>IFERROR(INDEX('Inventory-Master'!$G$3:$G$32,MATCH(C16,'Inventory-Master'!$B$3:$B$32,0)),0)</f>
        <v>48</v>
      </c>
      <c r="H16" s="7">
        <f t="shared" si="0"/>
        <v>144</v>
      </c>
      <c r="I16" s="3" t="s">
        <v>141</v>
      </c>
      <c r="J16" s="3" t="s">
        <v>150</v>
      </c>
    </row>
    <row r="17" ht="15" customHeight="1" spans="1:10">
      <c r="A17" s="6" t="s">
        <v>159</v>
      </c>
      <c r="B17" s="12">
        <v>46091</v>
      </c>
      <c r="C17" s="3" t="s">
        <v>97</v>
      </c>
      <c r="D17" s="6" t="str">
        <f>IFERROR(INDEX('Inventory-Master'!$C$3:$C$32,MATCH(C17,'Inventory-Master'!$B$3:$B$32,0)),"")</f>
        <v>Filing &amp; Storage</v>
      </c>
      <c r="E17" s="6" t="s">
        <v>29</v>
      </c>
      <c r="F17" s="6">
        <v>2</v>
      </c>
      <c r="G17" s="7">
        <f>IFERROR(INDEX('Inventory-Master'!$G$3:$G$32,MATCH(C17,'Inventory-Master'!$B$3:$B$32,0)),0)</f>
        <v>150</v>
      </c>
      <c r="H17" s="7">
        <f t="shared" si="0"/>
        <v>300</v>
      </c>
      <c r="I17" s="3" t="s">
        <v>144</v>
      </c>
      <c r="J17" s="3" t="s">
        <v>148</v>
      </c>
    </row>
    <row r="18" ht="15" customHeight="1" spans="1:10">
      <c r="A18" s="6" t="s">
        <v>160</v>
      </c>
      <c r="B18" s="12">
        <v>46122</v>
      </c>
      <c r="C18" s="3" t="s">
        <v>77</v>
      </c>
      <c r="D18" s="6" t="str">
        <f>IFERROR(INDEX('Inventory-Master'!$C$3:$C$32,MATCH(C18,'Inventory-Master'!$B$3:$B$32,0)),"")</f>
        <v>Writing Instruments</v>
      </c>
      <c r="E18" s="6" t="s">
        <v>25</v>
      </c>
      <c r="F18" s="6">
        <v>3</v>
      </c>
      <c r="G18" s="7">
        <f>IFERROR(INDEX('Inventory-Master'!$G$3:$G$32,MATCH(C18,'Inventory-Master'!$B$3:$B$32,0)),0)</f>
        <v>15</v>
      </c>
      <c r="H18" s="7">
        <f t="shared" si="0"/>
        <v>45</v>
      </c>
      <c r="I18" s="3" t="s">
        <v>144</v>
      </c>
      <c r="J18" s="3" t="s">
        <v>150</v>
      </c>
    </row>
    <row r="19" ht="15" customHeight="1" spans="1:10">
      <c r="A19" s="6" t="s">
        <v>161</v>
      </c>
      <c r="B19" s="12">
        <v>46150</v>
      </c>
      <c r="C19" s="3" t="s">
        <v>94</v>
      </c>
      <c r="D19" s="6" t="str">
        <f>IFERROR(INDEX('Inventory-Master'!$C$3:$C$32,MATCH(C19,'Inventory-Master'!$B$3:$B$32,0)),"")</f>
        <v>Filing &amp; Storage</v>
      </c>
      <c r="E19" s="6" t="s">
        <v>19</v>
      </c>
      <c r="F19" s="6">
        <v>20</v>
      </c>
      <c r="G19" s="7">
        <f>IFERROR(INDEX('Inventory-Master'!$G$3:$G$32,MATCH(C19,'Inventory-Master'!$B$3:$B$32,0)),0)</f>
        <v>380</v>
      </c>
      <c r="H19" s="7">
        <f t="shared" si="0"/>
        <v>7600</v>
      </c>
      <c r="I19" s="3" t="s">
        <v>138</v>
      </c>
      <c r="J19" s="3" t="s">
        <v>148</v>
      </c>
    </row>
    <row r="20" ht="15" customHeight="1" spans="1:10">
      <c r="A20" s="6" t="s">
        <v>162</v>
      </c>
      <c r="B20" s="12">
        <v>46192</v>
      </c>
      <c r="C20" s="3" t="s">
        <v>48</v>
      </c>
      <c r="D20" s="6" t="str">
        <f>IFERROR(INDEX('Inventory-Master'!$C$3:$C$32,MATCH(C20,'Inventory-Master'!$B$3:$B$32,0)),"")</f>
        <v>Writing Instruments</v>
      </c>
      <c r="E20" s="6" t="s">
        <v>33</v>
      </c>
      <c r="F20" s="6">
        <v>20</v>
      </c>
      <c r="G20" s="7">
        <f>IFERROR(INDEX('Inventory-Master'!$G$3:$G$32,MATCH(C20,'Inventory-Master'!$B$3:$B$32,0)),0)</f>
        <v>48</v>
      </c>
      <c r="H20" s="7">
        <f t="shared" si="0"/>
        <v>960</v>
      </c>
      <c r="I20" s="3" t="s">
        <v>138</v>
      </c>
      <c r="J20" s="3" t="s">
        <v>163</v>
      </c>
    </row>
    <row r="21" ht="15" customHeight="1" spans="1:10">
      <c r="A21" s="6" t="s">
        <v>164</v>
      </c>
      <c r="B21" s="12">
        <v>46027</v>
      </c>
      <c r="C21" s="3" t="s">
        <v>106</v>
      </c>
      <c r="D21" s="6" t="str">
        <f>IFERROR(INDEX('Inventory-Master'!$C$3:$C$32,MATCH(C21,'Inventory-Master'!$B$3:$B$32,0)),"")</f>
        <v>Stationery</v>
      </c>
      <c r="E21" s="6" t="s">
        <v>21</v>
      </c>
      <c r="F21" s="6">
        <v>2</v>
      </c>
      <c r="G21" s="7">
        <f>IFERROR(INDEX('Inventory-Master'!$G$3:$G$32,MATCH(C21,'Inventory-Master'!$B$3:$B$32,0)),0)</f>
        <v>25</v>
      </c>
      <c r="H21" s="7">
        <f t="shared" si="0"/>
        <v>50</v>
      </c>
      <c r="I21" s="3" t="s">
        <v>138</v>
      </c>
      <c r="J21" s="3" t="s">
        <v>163</v>
      </c>
    </row>
    <row r="22" ht="15" customHeight="1" spans="1:10">
      <c r="A22" s="6" t="s">
        <v>165</v>
      </c>
      <c r="B22" s="12">
        <v>46059</v>
      </c>
      <c r="C22" s="3" t="s">
        <v>117</v>
      </c>
      <c r="D22" s="6" t="str">
        <f>IFERROR(INDEX('Inventory-Master'!$C$3:$C$32,MATCH(C22,'Inventory-Master'!$B$3:$B$32,0)),"")</f>
        <v>Printing Supplies</v>
      </c>
      <c r="E22" s="6" t="s">
        <v>31</v>
      </c>
      <c r="F22" s="6">
        <v>1</v>
      </c>
      <c r="G22" s="7">
        <f>IFERROR(INDEX('Inventory-Master'!$G$3:$G$32,MATCH(C22,'Inventory-Master'!$B$3:$B$32,0)),0)</f>
        <v>3000</v>
      </c>
      <c r="H22" s="7">
        <f t="shared" si="0"/>
        <v>3000</v>
      </c>
      <c r="I22" s="3" t="s">
        <v>141</v>
      </c>
      <c r="J22" s="3" t="s">
        <v>163</v>
      </c>
    </row>
    <row r="23" ht="15" customHeight="1" spans="1:10">
      <c r="A23" s="6" t="s">
        <v>166</v>
      </c>
      <c r="B23" s="12">
        <v>46111</v>
      </c>
      <c r="C23" s="3" t="s">
        <v>122</v>
      </c>
      <c r="D23" s="6" t="str">
        <f>IFERROR(INDEX('Inventory-Master'!$C$3:$C$32,MATCH(C23,'Inventory-Master'!$B$3:$B$32,0)),"")</f>
        <v>Packaging Materials</v>
      </c>
      <c r="E23" s="6" t="s">
        <v>19</v>
      </c>
      <c r="F23" s="6">
        <v>20</v>
      </c>
      <c r="G23" s="7">
        <f>IFERROR(INDEX('Inventory-Master'!$G$3:$G$32,MATCH(C23,'Inventory-Master'!$B$3:$B$32,0)),0)</f>
        <v>200</v>
      </c>
      <c r="H23" s="7">
        <f t="shared" si="0"/>
        <v>4000</v>
      </c>
      <c r="I23" s="3" t="s">
        <v>144</v>
      </c>
      <c r="J23" s="3" t="s">
        <v>153</v>
      </c>
    </row>
    <row r="24" ht="15" customHeight="1" spans="1:10">
      <c r="A24" s="6" t="s">
        <v>167</v>
      </c>
      <c r="B24" s="12">
        <v>46134</v>
      </c>
      <c r="C24" s="3" t="s">
        <v>97</v>
      </c>
      <c r="D24" s="6" t="str">
        <f>IFERROR(INDEX('Inventory-Master'!$C$3:$C$32,MATCH(C24,'Inventory-Master'!$B$3:$B$32,0)),"")</f>
        <v>Filing &amp; Storage</v>
      </c>
      <c r="E24" s="6" t="s">
        <v>29</v>
      </c>
      <c r="F24" s="6">
        <v>20</v>
      </c>
      <c r="G24" s="7">
        <f>IFERROR(INDEX('Inventory-Master'!$G$3:$G$32,MATCH(C24,'Inventory-Master'!$B$3:$B$32,0)),0)</f>
        <v>150</v>
      </c>
      <c r="H24" s="7">
        <f t="shared" si="0"/>
        <v>3000</v>
      </c>
      <c r="I24" s="3" t="s">
        <v>141</v>
      </c>
      <c r="J24" s="3" t="s">
        <v>148</v>
      </c>
    </row>
    <row r="25" ht="15" customHeight="1" spans="1:10">
      <c r="A25" s="6" t="s">
        <v>168</v>
      </c>
      <c r="B25" s="12">
        <v>46171</v>
      </c>
      <c r="C25" s="3" t="s">
        <v>97</v>
      </c>
      <c r="D25" s="6" t="str">
        <f>IFERROR(INDEX('Inventory-Master'!$C$3:$C$32,MATCH(C25,'Inventory-Master'!$B$3:$B$32,0)),"")</f>
        <v>Filing &amp; Storage</v>
      </c>
      <c r="E25" s="6" t="s">
        <v>33</v>
      </c>
      <c r="F25" s="6">
        <v>20</v>
      </c>
      <c r="G25" s="7">
        <f>IFERROR(INDEX('Inventory-Master'!$G$3:$G$32,MATCH(C25,'Inventory-Master'!$B$3:$B$32,0)),0)</f>
        <v>150</v>
      </c>
      <c r="H25" s="7">
        <f t="shared" si="0"/>
        <v>3000</v>
      </c>
      <c r="I25" s="3" t="s">
        <v>144</v>
      </c>
      <c r="J25" s="3" t="s">
        <v>148</v>
      </c>
    </row>
    <row r="26" ht="15" customHeight="1" spans="1:10">
      <c r="A26" s="6" t="s">
        <v>169</v>
      </c>
      <c r="B26" s="12">
        <v>46201</v>
      </c>
      <c r="C26" s="3" t="s">
        <v>94</v>
      </c>
      <c r="D26" s="6" t="str">
        <f>IFERROR(INDEX('Inventory-Master'!$C$3:$C$32,MATCH(C26,'Inventory-Master'!$B$3:$B$32,0)),"")</f>
        <v>Filing &amp; Storage</v>
      </c>
      <c r="E26" s="6" t="s">
        <v>31</v>
      </c>
      <c r="F26" s="6">
        <v>8</v>
      </c>
      <c r="G26" s="7">
        <f>IFERROR(INDEX('Inventory-Master'!$G$3:$G$32,MATCH(C26,'Inventory-Master'!$B$3:$B$32,0)),0)</f>
        <v>380</v>
      </c>
      <c r="H26" s="7">
        <f t="shared" si="0"/>
        <v>3040</v>
      </c>
      <c r="I26" s="3" t="s">
        <v>144</v>
      </c>
      <c r="J26" s="3" t="s">
        <v>148</v>
      </c>
    </row>
    <row r="27" ht="15" customHeight="1" spans="1:10">
      <c r="A27" s="6" t="s">
        <v>170</v>
      </c>
      <c r="B27" s="12">
        <v>46031</v>
      </c>
      <c r="C27" s="3" t="s">
        <v>115</v>
      </c>
      <c r="D27" s="6" t="str">
        <f>IFERROR(INDEX('Inventory-Master'!$C$3:$C$32,MATCH(C27,'Inventory-Master'!$B$3:$B$32,0)),"")</f>
        <v>Printing Supplies</v>
      </c>
      <c r="E27" s="6" t="s">
        <v>31</v>
      </c>
      <c r="F27" s="6">
        <v>5</v>
      </c>
      <c r="G27" s="7">
        <f>IFERROR(INDEX('Inventory-Master'!$G$3:$G$32,MATCH(C27,'Inventory-Master'!$B$3:$B$32,0)),0)</f>
        <v>100</v>
      </c>
      <c r="H27" s="7">
        <f t="shared" si="0"/>
        <v>500</v>
      </c>
      <c r="I27" s="3" t="s">
        <v>138</v>
      </c>
      <c r="J27" s="3" t="s">
        <v>153</v>
      </c>
    </row>
    <row r="28" ht="15" customHeight="1" spans="1:10">
      <c r="A28" s="6" t="s">
        <v>171</v>
      </c>
      <c r="B28" s="12">
        <v>46056</v>
      </c>
      <c r="C28" s="3" t="s">
        <v>111</v>
      </c>
      <c r="D28" s="6" t="str">
        <f>IFERROR(INDEX('Inventory-Master'!$C$3:$C$32,MATCH(C28,'Inventory-Master'!$B$3:$B$32,0)),"")</f>
        <v>Printing Supplies</v>
      </c>
      <c r="E28" s="6" t="s">
        <v>22</v>
      </c>
      <c r="F28" s="6">
        <v>5</v>
      </c>
      <c r="G28" s="7">
        <f>IFERROR(INDEX('Inventory-Master'!$G$3:$G$32,MATCH(C28,'Inventory-Master'!$B$3:$B$32,0)),0)</f>
        <v>100</v>
      </c>
      <c r="H28" s="7">
        <f t="shared" si="0"/>
        <v>500</v>
      </c>
      <c r="I28" s="3" t="s">
        <v>138</v>
      </c>
      <c r="J28" s="3" t="s">
        <v>139</v>
      </c>
    </row>
    <row r="29" ht="15" customHeight="1" spans="1:10">
      <c r="A29" s="6" t="s">
        <v>172</v>
      </c>
      <c r="B29" s="12">
        <v>46092</v>
      </c>
      <c r="C29" s="3" t="s">
        <v>125</v>
      </c>
      <c r="D29" s="6" t="str">
        <f>IFERROR(INDEX('Inventory-Master'!$C$3:$C$32,MATCH(C29,'Inventory-Master'!$B$3:$B$32,0)),"")</f>
        <v>Packaging Materials</v>
      </c>
      <c r="E29" s="6" t="s">
        <v>19</v>
      </c>
      <c r="F29" s="6">
        <v>3</v>
      </c>
      <c r="G29" s="7">
        <f>IFERROR(INDEX('Inventory-Master'!$G$3:$G$32,MATCH(C29,'Inventory-Master'!$B$3:$B$32,0)),0)</f>
        <v>40</v>
      </c>
      <c r="H29" s="7">
        <f t="shared" si="0"/>
        <v>120</v>
      </c>
      <c r="I29" s="3" t="s">
        <v>144</v>
      </c>
      <c r="J29" s="3" t="s">
        <v>163</v>
      </c>
    </row>
    <row r="30" ht="15" customHeight="1" spans="1:10">
      <c r="A30" s="6" t="s">
        <v>173</v>
      </c>
      <c r="B30" s="12">
        <v>46125</v>
      </c>
      <c r="C30" s="3" t="s">
        <v>111</v>
      </c>
      <c r="D30" s="6" t="str">
        <f>IFERROR(INDEX('Inventory-Master'!$C$3:$C$32,MATCH(C30,'Inventory-Master'!$B$3:$B$32,0)),"")</f>
        <v>Printing Supplies</v>
      </c>
      <c r="E30" s="6" t="s">
        <v>27</v>
      </c>
      <c r="F30" s="6">
        <v>5</v>
      </c>
      <c r="G30" s="7">
        <f>IFERROR(INDEX('Inventory-Master'!$G$3:$G$32,MATCH(C30,'Inventory-Master'!$B$3:$B$32,0)),0)</f>
        <v>100</v>
      </c>
      <c r="H30" s="7">
        <f t="shared" si="0"/>
        <v>500</v>
      </c>
      <c r="I30" s="3" t="s">
        <v>144</v>
      </c>
      <c r="J30" s="3" t="s">
        <v>153</v>
      </c>
    </row>
    <row r="31" ht="15" customHeight="1" spans="1:10">
      <c r="A31" s="6" t="s">
        <v>174</v>
      </c>
      <c r="B31" s="12">
        <v>46156</v>
      </c>
      <c r="C31" s="3" t="s">
        <v>83</v>
      </c>
      <c r="D31" s="6" t="str">
        <f>IFERROR(INDEX('Inventory-Master'!$C$3:$C$32,MATCH(C31,'Inventory-Master'!$B$3:$B$32,0)),"")</f>
        <v>Office Equipment</v>
      </c>
      <c r="E31" s="6" t="s">
        <v>31</v>
      </c>
      <c r="F31" s="6">
        <v>15</v>
      </c>
      <c r="G31" s="7">
        <f>IFERROR(INDEX('Inventory-Master'!$G$3:$G$32,MATCH(C31,'Inventory-Master'!$B$3:$B$32,0)),0)</f>
        <v>45</v>
      </c>
      <c r="H31" s="7">
        <f t="shared" si="0"/>
        <v>675</v>
      </c>
      <c r="I31" s="3" t="s">
        <v>144</v>
      </c>
      <c r="J31" s="3" t="s">
        <v>163</v>
      </c>
    </row>
    <row r="32" ht="15" customHeight="1" spans="1:10">
      <c r="A32" s="6" t="s">
        <v>175</v>
      </c>
      <c r="B32" s="12">
        <v>46200</v>
      </c>
      <c r="C32" s="3" t="s">
        <v>90</v>
      </c>
      <c r="D32" s="6" t="str">
        <f>IFERROR(INDEX('Inventory-Master'!$C$3:$C$32,MATCH(C32,'Inventory-Master'!$B$3:$B$32,0)),"")</f>
        <v>Office Equipment</v>
      </c>
      <c r="E32" s="6" t="s">
        <v>33</v>
      </c>
      <c r="F32" s="6">
        <v>1</v>
      </c>
      <c r="G32" s="7">
        <f>IFERROR(INDEX('Inventory-Master'!$G$3:$G$32,MATCH(C32,'Inventory-Master'!$B$3:$B$32,0)),0)</f>
        <v>45</v>
      </c>
      <c r="H32" s="7">
        <f t="shared" si="0"/>
        <v>45</v>
      </c>
      <c r="I32" s="3" t="s">
        <v>141</v>
      </c>
      <c r="J32" s="3" t="s">
        <v>153</v>
      </c>
    </row>
    <row r="33" ht="15" customHeight="1" spans="1:10">
      <c r="A33" s="6" t="s">
        <v>176</v>
      </c>
      <c r="B33" s="12">
        <v>46038</v>
      </c>
      <c r="C33" s="3" t="s">
        <v>58</v>
      </c>
      <c r="D33" s="6" t="str">
        <f>IFERROR(INDEX('Inventory-Master'!$C$3:$C$32,MATCH(C33,'Inventory-Master'!$B$3:$B$32,0)),"")</f>
        <v>Paper Products</v>
      </c>
      <c r="E33" s="6" t="s">
        <v>29</v>
      </c>
      <c r="F33" s="6">
        <v>8</v>
      </c>
      <c r="G33" s="7">
        <f>IFERROR(INDEX('Inventory-Master'!$G$3:$G$32,MATCH(C33,'Inventory-Master'!$B$3:$B$32,0)),0)</f>
        <v>130</v>
      </c>
      <c r="H33" s="7">
        <f t="shared" si="0"/>
        <v>1040</v>
      </c>
      <c r="I33" s="3" t="s">
        <v>138</v>
      </c>
      <c r="J33" s="3" t="s">
        <v>153</v>
      </c>
    </row>
    <row r="34" ht="15" customHeight="1" spans="1:10">
      <c r="A34" s="6" t="s">
        <v>177</v>
      </c>
      <c r="B34" s="12">
        <v>46071</v>
      </c>
      <c r="C34" s="3" t="s">
        <v>113</v>
      </c>
      <c r="D34" s="6" t="str">
        <f>IFERROR(INDEX('Inventory-Master'!$C$3:$C$32,MATCH(C34,'Inventory-Master'!$B$3:$B$32,0)),"")</f>
        <v>Printing Supplies</v>
      </c>
      <c r="E34" s="6" t="s">
        <v>25</v>
      </c>
      <c r="F34" s="6">
        <v>20</v>
      </c>
      <c r="G34" s="7">
        <f>IFERROR(INDEX('Inventory-Master'!$G$3:$G$32,MATCH(C34,'Inventory-Master'!$B$3:$B$32,0)),0)</f>
        <v>100</v>
      </c>
      <c r="H34" s="7">
        <f t="shared" si="0"/>
        <v>2000</v>
      </c>
      <c r="I34" s="3" t="s">
        <v>144</v>
      </c>
      <c r="J34" s="3" t="s">
        <v>139</v>
      </c>
    </row>
    <row r="35" ht="15" customHeight="1" spans="1:10">
      <c r="A35" s="6" t="s">
        <v>178</v>
      </c>
      <c r="B35" s="12">
        <v>46095</v>
      </c>
      <c r="C35" s="3" t="s">
        <v>94</v>
      </c>
      <c r="D35" s="6" t="str">
        <f>IFERROR(INDEX('Inventory-Master'!$C$3:$C$32,MATCH(C35,'Inventory-Master'!$B$3:$B$32,0)),"")</f>
        <v>Filing &amp; Storage</v>
      </c>
      <c r="E35" s="6" t="s">
        <v>21</v>
      </c>
      <c r="F35" s="6">
        <v>15</v>
      </c>
      <c r="G35" s="7">
        <f>IFERROR(INDEX('Inventory-Master'!$G$3:$G$32,MATCH(C35,'Inventory-Master'!$B$3:$B$32,0)),0)</f>
        <v>380</v>
      </c>
      <c r="H35" s="7">
        <f t="shared" si="0"/>
        <v>5700</v>
      </c>
      <c r="I35" s="3" t="s">
        <v>138</v>
      </c>
      <c r="J35" s="3" t="s">
        <v>148</v>
      </c>
    </row>
    <row r="36" ht="15" customHeight="1" spans="1:10">
      <c r="A36" s="6" t="s">
        <v>179</v>
      </c>
      <c r="B36" s="12">
        <v>46134</v>
      </c>
      <c r="C36" s="3" t="s">
        <v>117</v>
      </c>
      <c r="D36" s="6" t="str">
        <f>IFERROR(INDEX('Inventory-Master'!$C$3:$C$32,MATCH(C36,'Inventory-Master'!$B$3:$B$32,0)),"")</f>
        <v>Printing Supplies</v>
      </c>
      <c r="E36" s="6" t="s">
        <v>33</v>
      </c>
      <c r="F36" s="6">
        <v>3</v>
      </c>
      <c r="G36" s="7">
        <f>IFERROR(INDEX('Inventory-Master'!$G$3:$G$32,MATCH(C36,'Inventory-Master'!$B$3:$B$32,0)),0)</f>
        <v>3000</v>
      </c>
      <c r="H36" s="7">
        <f t="shared" si="0"/>
        <v>9000</v>
      </c>
      <c r="I36" s="3" t="s">
        <v>138</v>
      </c>
      <c r="J36" s="3" t="s">
        <v>163</v>
      </c>
    </row>
    <row r="37" ht="15" customHeight="1" spans="1:10">
      <c r="A37" s="6" t="s">
        <v>180</v>
      </c>
      <c r="B37" s="12">
        <v>46162</v>
      </c>
      <c r="C37" s="3" t="s">
        <v>99</v>
      </c>
      <c r="D37" s="6" t="str">
        <f>IFERROR(INDEX('Inventory-Master'!$C$3:$C$32,MATCH(C37,'Inventory-Master'!$B$3:$B$32,0)),"")</f>
        <v>Filing &amp; Storage</v>
      </c>
      <c r="E37" s="6" t="s">
        <v>21</v>
      </c>
      <c r="F37" s="6">
        <v>15</v>
      </c>
      <c r="G37" s="7">
        <f>IFERROR(INDEX('Inventory-Master'!$G$3:$G$32,MATCH(C37,'Inventory-Master'!$B$3:$B$32,0)),0)</f>
        <v>750</v>
      </c>
      <c r="H37" s="7">
        <f t="shared" si="0"/>
        <v>11250</v>
      </c>
      <c r="I37" s="3" t="s">
        <v>141</v>
      </c>
      <c r="J37" s="3" t="s">
        <v>142</v>
      </c>
    </row>
    <row r="38" ht="15" customHeight="1" spans="1:10">
      <c r="A38" s="6" t="s">
        <v>181</v>
      </c>
      <c r="B38" s="12">
        <v>46195</v>
      </c>
      <c r="C38" s="3" t="s">
        <v>58</v>
      </c>
      <c r="D38" s="6" t="str">
        <f>IFERROR(INDEX('Inventory-Master'!$C$3:$C$32,MATCH(C38,'Inventory-Master'!$B$3:$B$32,0)),"")</f>
        <v>Paper Products</v>
      </c>
      <c r="E38" s="6" t="s">
        <v>19</v>
      </c>
      <c r="F38" s="6">
        <v>15</v>
      </c>
      <c r="G38" s="7">
        <f>IFERROR(INDEX('Inventory-Master'!$G$3:$G$32,MATCH(C38,'Inventory-Master'!$B$3:$B$32,0)),0)</f>
        <v>130</v>
      </c>
      <c r="H38" s="7">
        <f t="shared" si="0"/>
        <v>1950</v>
      </c>
      <c r="I38" s="3" t="s">
        <v>144</v>
      </c>
      <c r="J38" s="3" t="s">
        <v>153</v>
      </c>
    </row>
    <row r="39" ht="15" customHeight="1" spans="1:10">
      <c r="A39" s="6" t="s">
        <v>182</v>
      </c>
      <c r="B39" s="12">
        <v>46028</v>
      </c>
      <c r="C39" s="3" t="s">
        <v>62</v>
      </c>
      <c r="D39" s="6" t="str">
        <f>IFERROR(INDEX('Inventory-Master'!$C$3:$C$32,MATCH(C39,'Inventory-Master'!$B$3:$B$32,0)),"")</f>
        <v>Writing Instruments</v>
      </c>
      <c r="E39" s="6" t="s">
        <v>22</v>
      </c>
      <c r="F39" s="6">
        <v>15</v>
      </c>
      <c r="G39" s="7">
        <f>IFERROR(INDEX('Inventory-Master'!$G$3:$G$32,MATCH(C39,'Inventory-Master'!$B$3:$B$32,0)),0)</f>
        <v>70</v>
      </c>
      <c r="H39" s="7">
        <f t="shared" si="0"/>
        <v>1050</v>
      </c>
      <c r="I39" s="3" t="s">
        <v>138</v>
      </c>
      <c r="J39" s="3" t="s">
        <v>163</v>
      </c>
    </row>
    <row r="40" ht="15" customHeight="1" spans="1:10">
      <c r="A40" s="6" t="s">
        <v>183</v>
      </c>
      <c r="B40" s="12">
        <v>46068</v>
      </c>
      <c r="C40" s="3" t="s">
        <v>83</v>
      </c>
      <c r="D40" s="6" t="str">
        <f>IFERROR(INDEX('Inventory-Master'!$C$3:$C$32,MATCH(C40,'Inventory-Master'!$B$3:$B$32,0)),"")</f>
        <v>Office Equipment</v>
      </c>
      <c r="E40" s="6" t="s">
        <v>29</v>
      </c>
      <c r="F40" s="6">
        <v>15</v>
      </c>
      <c r="G40" s="7">
        <f>IFERROR(INDEX('Inventory-Master'!$G$3:$G$32,MATCH(C40,'Inventory-Master'!$B$3:$B$32,0)),0)</f>
        <v>45</v>
      </c>
      <c r="H40" s="7">
        <f t="shared" si="0"/>
        <v>675</v>
      </c>
      <c r="I40" s="3" t="s">
        <v>138</v>
      </c>
      <c r="J40" s="3" t="s">
        <v>153</v>
      </c>
    </row>
    <row r="41" ht="15" customHeight="1" spans="1:10">
      <c r="A41" s="6" t="s">
        <v>184</v>
      </c>
      <c r="B41" s="12">
        <v>46090</v>
      </c>
      <c r="C41" s="3" t="s">
        <v>119</v>
      </c>
      <c r="D41" s="6" t="str">
        <f>IFERROR(INDEX('Inventory-Master'!$C$3:$C$32,MATCH(C41,'Inventory-Master'!$B$3:$B$32,0)),"")</f>
        <v>IT Accessories</v>
      </c>
      <c r="E41" s="6" t="s">
        <v>19</v>
      </c>
      <c r="F41" s="6">
        <v>20</v>
      </c>
      <c r="G41" s="7">
        <f>IFERROR(INDEX('Inventory-Master'!$G$3:$G$32,MATCH(C41,'Inventory-Master'!$B$3:$B$32,0)),0)</f>
        <v>600</v>
      </c>
      <c r="H41" s="7">
        <f t="shared" si="0"/>
        <v>12000</v>
      </c>
      <c r="I41" s="3" t="s">
        <v>144</v>
      </c>
      <c r="J41" s="3" t="s">
        <v>148</v>
      </c>
    </row>
    <row r="42" ht="15" customHeight="1" spans="1:10">
      <c r="A42" s="6" t="s">
        <v>185</v>
      </c>
      <c r="B42" s="12">
        <v>46130</v>
      </c>
      <c r="C42" s="3" t="s">
        <v>62</v>
      </c>
      <c r="D42" s="6" t="str">
        <f>IFERROR(INDEX('Inventory-Master'!$C$3:$C$32,MATCH(C42,'Inventory-Master'!$B$3:$B$32,0)),"")</f>
        <v>Writing Instruments</v>
      </c>
      <c r="E42" s="6" t="s">
        <v>29</v>
      </c>
      <c r="F42" s="6">
        <v>5</v>
      </c>
      <c r="G42" s="7">
        <f>IFERROR(INDEX('Inventory-Master'!$G$3:$G$32,MATCH(C42,'Inventory-Master'!$B$3:$B$32,0)),0)</f>
        <v>70</v>
      </c>
      <c r="H42" s="7">
        <f t="shared" si="0"/>
        <v>350</v>
      </c>
      <c r="I42" s="3" t="s">
        <v>141</v>
      </c>
      <c r="J42" s="3" t="s">
        <v>150</v>
      </c>
    </row>
    <row r="43" ht="15" customHeight="1" spans="1:10">
      <c r="A43" s="6" t="s">
        <v>186</v>
      </c>
      <c r="B43" s="12">
        <v>46167</v>
      </c>
      <c r="C43" s="3" t="s">
        <v>106</v>
      </c>
      <c r="D43" s="6" t="str">
        <f>IFERROR(INDEX('Inventory-Master'!$C$3:$C$32,MATCH(C43,'Inventory-Master'!$B$3:$B$32,0)),"")</f>
        <v>Stationery</v>
      </c>
      <c r="E43" s="6" t="s">
        <v>21</v>
      </c>
      <c r="F43" s="6">
        <v>1</v>
      </c>
      <c r="G43" s="7">
        <f>IFERROR(INDEX('Inventory-Master'!$G$3:$G$32,MATCH(C43,'Inventory-Master'!$B$3:$B$32,0)),0)</f>
        <v>25</v>
      </c>
      <c r="H43" s="7">
        <f t="shared" si="0"/>
        <v>25</v>
      </c>
      <c r="I43" s="3" t="s">
        <v>144</v>
      </c>
      <c r="J43" s="3" t="s">
        <v>163</v>
      </c>
    </row>
    <row r="44" ht="15" customHeight="1" spans="1:10">
      <c r="A44" s="6" t="s">
        <v>187</v>
      </c>
      <c r="B44" s="12">
        <v>46200</v>
      </c>
      <c r="C44" s="3" t="s">
        <v>58</v>
      </c>
      <c r="D44" s="6" t="str">
        <f>IFERROR(INDEX('Inventory-Master'!$C$3:$C$32,MATCH(C44,'Inventory-Master'!$B$3:$B$32,0)),"")</f>
        <v>Paper Products</v>
      </c>
      <c r="E44" s="6" t="s">
        <v>27</v>
      </c>
      <c r="F44" s="6">
        <v>5</v>
      </c>
      <c r="G44" s="7">
        <f>IFERROR(INDEX('Inventory-Master'!$G$3:$G$32,MATCH(C44,'Inventory-Master'!$B$3:$B$32,0)),0)</f>
        <v>130</v>
      </c>
      <c r="H44" s="7">
        <f t="shared" si="0"/>
        <v>650</v>
      </c>
      <c r="I44" s="3" t="s">
        <v>144</v>
      </c>
      <c r="J44" s="3" t="s">
        <v>153</v>
      </c>
    </row>
    <row r="45" ht="15" customHeight="1" spans="1:10">
      <c r="A45" s="6" t="s">
        <v>188</v>
      </c>
      <c r="B45" s="12">
        <v>46044</v>
      </c>
      <c r="C45" s="3" t="s">
        <v>70</v>
      </c>
      <c r="D45" s="6" t="str">
        <f>IFERROR(INDEX('Inventory-Master'!$C$3:$C$32,MATCH(C45,'Inventory-Master'!$B$3:$B$32,0)),"")</f>
        <v>Office Equipment</v>
      </c>
      <c r="E45" s="6" t="s">
        <v>25</v>
      </c>
      <c r="F45" s="6">
        <v>20</v>
      </c>
      <c r="G45" s="7">
        <f>IFERROR(INDEX('Inventory-Master'!$G$3:$G$32,MATCH(C45,'Inventory-Master'!$B$3:$B$32,0)),0)</f>
        <v>40</v>
      </c>
      <c r="H45" s="7">
        <f t="shared" si="0"/>
        <v>800</v>
      </c>
      <c r="I45" s="3" t="s">
        <v>141</v>
      </c>
      <c r="J45" s="3" t="s">
        <v>139</v>
      </c>
    </row>
    <row r="46" ht="15" customHeight="1" spans="1:10">
      <c r="A46" s="6" t="s">
        <v>189</v>
      </c>
      <c r="B46" s="12">
        <v>46078</v>
      </c>
      <c r="C46" s="3" t="s">
        <v>86</v>
      </c>
      <c r="D46" s="6" t="str">
        <f>IFERROR(INDEX('Inventory-Master'!$C$3:$C$32,MATCH(C46,'Inventory-Master'!$B$3:$B$32,0)),"")</f>
        <v>Office Equipment</v>
      </c>
      <c r="E46" s="6" t="s">
        <v>27</v>
      </c>
      <c r="F46" s="6">
        <v>2</v>
      </c>
      <c r="G46" s="7">
        <f>IFERROR(INDEX('Inventory-Master'!$G$3:$G$32,MATCH(C46,'Inventory-Master'!$B$3:$B$32,0)),0)</f>
        <v>10</v>
      </c>
      <c r="H46" s="7">
        <f t="shared" si="0"/>
        <v>20</v>
      </c>
      <c r="I46" s="3" t="s">
        <v>144</v>
      </c>
      <c r="J46" s="3" t="s">
        <v>139</v>
      </c>
    </row>
    <row r="47" ht="15" customHeight="1" spans="1:10">
      <c r="A47" s="6" t="s">
        <v>190</v>
      </c>
      <c r="B47" s="12">
        <v>46085</v>
      </c>
      <c r="C47" s="3" t="s">
        <v>101</v>
      </c>
      <c r="D47" s="6" t="str">
        <f>IFERROR(INDEX('Inventory-Master'!$C$3:$C$32,MATCH(C47,'Inventory-Master'!$B$3:$B$32,0)),"")</f>
        <v>Paper Products</v>
      </c>
      <c r="E47" s="6" t="s">
        <v>21</v>
      </c>
      <c r="F47" s="6">
        <v>8</v>
      </c>
      <c r="G47" s="7">
        <f>IFERROR(INDEX('Inventory-Master'!$G$3:$G$32,MATCH(C47,'Inventory-Master'!$B$3:$B$32,0)),0)</f>
        <v>150</v>
      </c>
      <c r="H47" s="7">
        <f t="shared" si="0"/>
        <v>1200</v>
      </c>
      <c r="I47" s="3" t="s">
        <v>141</v>
      </c>
      <c r="J47" s="3" t="s">
        <v>148</v>
      </c>
    </row>
  </sheetData>
  <mergeCells count="1">
    <mergeCell ref="A1:J1"/>
  </mergeCells>
  <dataValidations count="2">
    <dataValidation type="list" sqref="C3:C47">
      <formula1>ItemList</formula1>
    </dataValidation>
    <dataValidation type="list" sqref="E3:E47">
      <formula1>DepartmentList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K12"/>
  <sheetViews>
    <sheetView showGridLines="0" workbookViewId="0">
      <pane ySplit="2" topLeftCell="A3" activePane="bottomLeft" state="frozen"/>
      <selection/>
      <selection pane="bottomLeft" activeCell="K18" sqref="K18"/>
    </sheetView>
  </sheetViews>
  <sheetFormatPr defaultColWidth="8.67592592592593" defaultRowHeight="14.4"/>
  <cols>
    <col min="1" max="1" width="12" customWidth="1"/>
    <col min="2" max="2" width="25" customWidth="1"/>
    <col min="3" max="3" width="18" customWidth="1"/>
    <col min="4" max="4" width="30" customWidth="1"/>
    <col min="5" max="5" width="15" customWidth="1"/>
    <col min="6" max="6" width="19" customWidth="1"/>
    <col min="7" max="7" width="11" customWidth="1"/>
    <col min="8" max="8" width="15" customWidth="1"/>
    <col min="9" max="9" width="10" customWidth="1"/>
    <col min="10" max="10" width="15" customWidth="1"/>
    <col min="11" max="11" width="12" customWidth="1"/>
  </cols>
  <sheetData>
    <row r="1" ht="31.5" customHeight="1" spans="1:11">
      <c r="A1" s="1" t="s">
        <v>191</v>
      </c>
    </row>
    <row r="2" ht="27.75" customHeight="1" spans="1:11">
      <c r="A2" s="2" t="s">
        <v>192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197</v>
      </c>
      <c r="G2" s="2" t="s">
        <v>35</v>
      </c>
      <c r="H2" s="2" t="s">
        <v>198</v>
      </c>
      <c r="I2" s="2" t="s">
        <v>199</v>
      </c>
      <c r="J2" s="2" t="s">
        <v>200</v>
      </c>
      <c r="K2" s="2" t="s">
        <v>201</v>
      </c>
    </row>
    <row r="3" ht="15" customHeight="1" spans="1:11">
      <c r="A3" s="6" t="s">
        <v>202</v>
      </c>
      <c r="B3" s="3" t="s">
        <v>60</v>
      </c>
      <c r="C3" s="3" t="s">
        <v>203</v>
      </c>
      <c r="D3" s="3" t="s">
        <v>204</v>
      </c>
      <c r="E3" s="3" t="s">
        <v>205</v>
      </c>
      <c r="F3" s="6" t="s">
        <v>2</v>
      </c>
      <c r="G3" s="6" t="s">
        <v>206</v>
      </c>
      <c r="H3" s="12">
        <v>44999</v>
      </c>
      <c r="I3" s="6">
        <f>COUNTIF('Purchase-Orders'!$D$3:$D$1000,B3)</f>
        <v>1</v>
      </c>
      <c r="J3" s="7">
        <f>SUMIF('Purchase-Orders'!$D$3:$D$1000,B3,'Purchase-Orders'!$I$3:$I$1000)</f>
        <v>650</v>
      </c>
      <c r="K3" s="13">
        <v>4.6</v>
      </c>
    </row>
    <row r="4" ht="15" customHeight="1" spans="1:11">
      <c r="A4" s="6" t="s">
        <v>207</v>
      </c>
      <c r="B4" s="3" t="s">
        <v>68</v>
      </c>
      <c r="C4" s="3" t="s">
        <v>208</v>
      </c>
      <c r="D4" s="3" t="s">
        <v>209</v>
      </c>
      <c r="E4" s="3" t="s">
        <v>210</v>
      </c>
      <c r="F4" s="6" t="s">
        <v>10</v>
      </c>
      <c r="G4" s="6" t="s">
        <v>206</v>
      </c>
      <c r="H4" s="12">
        <v>44867</v>
      </c>
      <c r="I4" s="6">
        <f>COUNTIF('Purchase-Orders'!$D$3:$D$1000,B4)</f>
        <v>1</v>
      </c>
      <c r="J4" s="7">
        <f>SUMIF('Purchase-Orders'!$D$3:$D$1000,B4,'Purchase-Orders'!$I$3:$I$1000)</f>
        <v>300</v>
      </c>
      <c r="K4" s="13">
        <v>4.3</v>
      </c>
    </row>
    <row r="5" ht="15" customHeight="1" spans="1:11">
      <c r="A5" s="6" t="s">
        <v>211</v>
      </c>
      <c r="B5" s="3" t="s">
        <v>109</v>
      </c>
      <c r="C5" s="3" t="s">
        <v>212</v>
      </c>
      <c r="D5" s="3" t="s">
        <v>213</v>
      </c>
      <c r="E5" s="3" t="s">
        <v>214</v>
      </c>
      <c r="F5" s="6" t="s">
        <v>13</v>
      </c>
      <c r="G5" s="6" t="s">
        <v>206</v>
      </c>
      <c r="H5" s="12">
        <v>44946</v>
      </c>
      <c r="I5" s="6">
        <f>COUNTIF('Purchase-Orders'!$D$3:$D$1000,B5)</f>
        <v>5</v>
      </c>
      <c r="J5" s="7">
        <f>SUMIF('Purchase-Orders'!$D$3:$D$1000,B5,'Purchase-Orders'!$I$3:$I$1000)</f>
        <v>11000</v>
      </c>
      <c r="K5" s="13">
        <v>4.7</v>
      </c>
    </row>
    <row r="6" ht="15" customHeight="1" spans="1:11">
      <c r="A6" s="6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6" t="s">
        <v>10</v>
      </c>
      <c r="G6" s="6" t="s">
        <v>206</v>
      </c>
      <c r="H6" s="12">
        <v>44386</v>
      </c>
      <c r="I6" s="6">
        <f>COUNTIF('Purchase-Orders'!$D$3:$D$1000,B6)</f>
        <v>5</v>
      </c>
      <c r="J6" s="7">
        <f>SUMIF('Purchase-Orders'!$D$3:$D$1000,B6,'Purchase-Orders'!$I$3:$I$1000)</f>
        <v>5575</v>
      </c>
      <c r="K6" s="13">
        <v>4.1</v>
      </c>
    </row>
    <row r="7" ht="15" customHeight="1" spans="1:11">
      <c r="A7" s="6" t="s">
        <v>220</v>
      </c>
      <c r="B7" s="3" t="s">
        <v>95</v>
      </c>
      <c r="C7" s="3" t="s">
        <v>221</v>
      </c>
      <c r="D7" s="3" t="s">
        <v>222</v>
      </c>
      <c r="E7" s="3" t="s">
        <v>223</v>
      </c>
      <c r="F7" s="6" t="s">
        <v>11</v>
      </c>
      <c r="G7" s="6" t="s">
        <v>206</v>
      </c>
      <c r="H7" s="12">
        <v>44711</v>
      </c>
      <c r="I7" s="6">
        <f>COUNTIF('Purchase-Orders'!$D$3:$D$1000,B7)</f>
        <v>2</v>
      </c>
      <c r="J7" s="7">
        <f>SUMIF('Purchase-Orders'!$D$3:$D$1000,B7,'Purchase-Orders'!$I$3:$I$1000)</f>
        <v>12000</v>
      </c>
      <c r="K7" s="13">
        <v>4.4</v>
      </c>
    </row>
    <row r="8" ht="15" customHeight="1" spans="1:11">
      <c r="A8" s="6" t="s">
        <v>224</v>
      </c>
      <c r="B8" s="3" t="s">
        <v>120</v>
      </c>
      <c r="C8" s="3" t="s">
        <v>225</v>
      </c>
      <c r="D8" s="3" t="s">
        <v>226</v>
      </c>
      <c r="E8" s="3" t="s">
        <v>227</v>
      </c>
      <c r="F8" s="6" t="s">
        <v>18</v>
      </c>
      <c r="G8" s="6" t="s">
        <v>206</v>
      </c>
      <c r="H8" s="12">
        <v>45155</v>
      </c>
      <c r="I8" s="6">
        <f>COUNTIF('Purchase-Orders'!$D$3:$D$1000,B8)</f>
        <v>1</v>
      </c>
      <c r="J8" s="7">
        <f>SUMIF('Purchase-Orders'!$D$3:$D$1000,B8,'Purchase-Orders'!$I$3:$I$1000)</f>
        <v>24000</v>
      </c>
      <c r="K8" s="13">
        <v>4.2</v>
      </c>
    </row>
    <row r="9" ht="15" customHeight="1" spans="1:11">
      <c r="A9" s="6" t="s">
        <v>228</v>
      </c>
      <c r="B9" s="3" t="s">
        <v>64</v>
      </c>
      <c r="C9" s="3" t="s">
        <v>229</v>
      </c>
      <c r="D9" s="3" t="s">
        <v>230</v>
      </c>
      <c r="E9" s="3" t="s">
        <v>231</v>
      </c>
      <c r="F9" s="6" t="s">
        <v>9</v>
      </c>
      <c r="G9" s="6" t="s">
        <v>206</v>
      </c>
      <c r="H9" s="12">
        <v>44603</v>
      </c>
      <c r="I9" s="6">
        <f>COUNTIF('Purchase-Orders'!$D$3:$D$1000,B9)</f>
        <v>7</v>
      </c>
      <c r="J9" s="7">
        <f>SUMIF('Purchase-Orders'!$D$3:$D$1000,B9,'Purchase-Orders'!$I$3:$I$1000)</f>
        <v>9665</v>
      </c>
      <c r="K9" s="13">
        <v>4.5</v>
      </c>
    </row>
    <row r="10" ht="15" customHeight="1" spans="1:11">
      <c r="A10" s="6" t="s">
        <v>232</v>
      </c>
      <c r="B10" s="3" t="s">
        <v>123</v>
      </c>
      <c r="C10" s="3" t="s">
        <v>233</v>
      </c>
      <c r="D10" s="3" t="s">
        <v>234</v>
      </c>
      <c r="E10" s="3" t="s">
        <v>235</v>
      </c>
      <c r="F10" s="6" t="s">
        <v>20</v>
      </c>
      <c r="G10" s="6" t="s">
        <v>236</v>
      </c>
      <c r="H10" s="12">
        <v>44473</v>
      </c>
      <c r="I10" s="6">
        <f>COUNTIF('Purchase-Orders'!$D$3:$D$1000,B10)</f>
        <v>0</v>
      </c>
      <c r="J10" s="7">
        <f>SUMIF('Purchase-Orders'!$D$3:$D$1000,B10,'Purchase-Orders'!$I$3:$I$1000)</f>
        <v>0</v>
      </c>
      <c r="K10" s="13">
        <v>3.8</v>
      </c>
    </row>
    <row r="11" ht="15" customHeight="1" spans="1:11">
      <c r="A11" s="6" t="s">
        <v>237</v>
      </c>
      <c r="B11" s="3" t="s">
        <v>238</v>
      </c>
      <c r="C11" s="3" t="s">
        <v>239</v>
      </c>
      <c r="D11" s="3" t="s">
        <v>240</v>
      </c>
      <c r="E11" s="3" t="s">
        <v>241</v>
      </c>
      <c r="F11" s="6" t="s">
        <v>13</v>
      </c>
      <c r="G11" s="6" t="s">
        <v>206</v>
      </c>
      <c r="H11" s="12">
        <v>45341</v>
      </c>
      <c r="I11" s="6">
        <f>COUNTIF('Purchase-Orders'!$D$3:$D$1000,B11)</f>
        <v>5</v>
      </c>
      <c r="J11" s="7">
        <f>SUMIF('Purchase-Orders'!$D$3:$D$1000,B11,'Purchase-Orders'!$I$3:$I$1000)</f>
        <v>187000</v>
      </c>
      <c r="K11" s="13">
        <v>4</v>
      </c>
    </row>
    <row r="12" ht="15" customHeight="1" spans="1:11">
      <c r="A12" s="6" t="s">
        <v>242</v>
      </c>
      <c r="B12" s="3" t="s">
        <v>104</v>
      </c>
      <c r="C12" s="3" t="s">
        <v>243</v>
      </c>
      <c r="D12" s="3" t="s">
        <v>244</v>
      </c>
      <c r="E12" s="3" t="s">
        <v>245</v>
      </c>
      <c r="F12" s="6" t="s">
        <v>12</v>
      </c>
      <c r="G12" s="6" t="s">
        <v>206</v>
      </c>
      <c r="H12" s="12">
        <v>45082</v>
      </c>
      <c r="I12" s="6">
        <f>COUNTIF('Purchase-Orders'!$D$3:$D$1000,B12)</f>
        <v>1</v>
      </c>
      <c r="J12" s="7">
        <f>SUMIF('Purchase-Orders'!$D$3:$D$1000,B12,'Purchase-Orders'!$I$3:$I$1000)</f>
        <v>175</v>
      </c>
      <c r="K12" s="13">
        <v>4.3</v>
      </c>
    </row>
  </sheetData>
  <mergeCells count="1">
    <mergeCell ref="A1:K1"/>
  </mergeCells>
  <conditionalFormatting sqref="G3:G12">
    <cfRule type="cellIs" dxfId="55" priority="2" operator="equal">
      <formula>"Active"</formula>
    </cfRule>
    <cfRule type="cellIs" dxfId="53" priority="3" operator="equal">
      <formula>"Inactive"</formula>
    </cfRule>
  </conditionalFormatting>
  <conditionalFormatting sqref="K3:K12">
    <cfRule type="colorScale" priority="4">
      <colorScale>
        <cfvo type="min"/>
        <cfvo type="max"/>
        <color rgb="FFFFC7CE"/>
        <color rgb="FFC6E0B4"/>
      </colorScale>
    </cfRule>
  </conditionalFormatting>
  <dataValidations count="2">
    <dataValidation type="list" sqref="F3:F12">
      <formula1>CategoryList</formula1>
    </dataValidation>
    <dataValidation type="list" sqref="G3:G12">
      <formula1>SupplierStatusList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L32"/>
  <sheetViews>
    <sheetView showGridLines="0" zoomScale="58" zoomScaleNormal="58" topLeftCell="C1" workbookViewId="0">
      <pane ySplit="2" topLeftCell="A3" activePane="bottomLeft" state="frozen"/>
      <selection/>
      <selection pane="bottomLeft" activeCell="T22" sqref="T22"/>
    </sheetView>
  </sheetViews>
  <sheetFormatPr defaultColWidth="8.67592592592593" defaultRowHeight="14.4"/>
  <cols>
    <col min="1" max="1" width="11" customWidth="1"/>
    <col min="2" max="2" width="14" customWidth="1"/>
    <col min="3" max="3" width="12" customWidth="1"/>
    <col min="4" max="4" width="22" customWidth="1"/>
    <col min="5" max="5" width="18" customWidth="1"/>
    <col min="6" max="7" width="10" customWidth="1"/>
    <col min="8" max="8" width="16" customWidth="1"/>
    <col min="9" max="9" width="11" customWidth="1"/>
    <col min="10" max="10" width="14" customWidth="1"/>
    <col min="11" max="11" width="26.8888888888889" customWidth="1"/>
    <col min="12" max="12" width="42.7777777777778" customWidth="1"/>
  </cols>
  <sheetData>
    <row r="1" ht="31.5" customHeight="1" spans="1:12">
      <c r="A1" s="1" t="s">
        <v>246</v>
      </c>
    </row>
    <row r="2" ht="27.75" customHeight="1" spans="1:12">
      <c r="A2" s="2" t="s">
        <v>247</v>
      </c>
      <c r="B2" s="2" t="s">
        <v>248</v>
      </c>
      <c r="C2" s="2" t="s">
        <v>16</v>
      </c>
      <c r="D2" s="2" t="s">
        <v>249</v>
      </c>
      <c r="E2" s="2" t="s">
        <v>14</v>
      </c>
      <c r="F2" s="2" t="s">
        <v>250</v>
      </c>
      <c r="G2" s="2" t="s">
        <v>251</v>
      </c>
      <c r="H2" s="2" t="s">
        <v>252</v>
      </c>
      <c r="I2" s="2" t="s">
        <v>35</v>
      </c>
      <c r="J2" s="2" t="s">
        <v>253</v>
      </c>
      <c r="K2" s="2" t="s">
        <v>254</v>
      </c>
      <c r="L2" s="2" t="s">
        <v>255</v>
      </c>
    </row>
    <row r="3" ht="15" customHeight="1" spans="1:12">
      <c r="A3" s="6" t="s">
        <v>256</v>
      </c>
      <c r="B3" s="12">
        <v>46043</v>
      </c>
      <c r="C3" s="6" t="s">
        <v>19</v>
      </c>
      <c r="D3" s="3" t="s">
        <v>58</v>
      </c>
      <c r="E3" s="6" t="str">
        <f>IFERROR(INDEX('Inventory-Master'!$C$3:$C$32,MATCH(D3,'Inventory-Master'!$B$3:$B$32,0)),"")</f>
        <v>Paper Products</v>
      </c>
      <c r="F3" s="6">
        <v>30</v>
      </c>
      <c r="G3" s="6" t="s">
        <v>257</v>
      </c>
      <c r="H3" s="3" t="s">
        <v>258</v>
      </c>
      <c r="I3" s="6" t="s">
        <v>26</v>
      </c>
      <c r="J3" s="12">
        <v>46051</v>
      </c>
      <c r="K3" s="3"/>
      <c r="L3" s="3" t="s">
        <v>259</v>
      </c>
    </row>
    <row r="4" ht="15" customHeight="1" spans="1:12">
      <c r="A4" s="6" t="s">
        <v>260</v>
      </c>
      <c r="B4" s="12">
        <v>46075</v>
      </c>
      <c r="C4" s="6" t="s">
        <v>19</v>
      </c>
      <c r="D4" s="3" t="s">
        <v>101</v>
      </c>
      <c r="E4" s="6" t="str">
        <f>IFERROR(INDEX('Inventory-Master'!$C$3:$C$32,MATCH(D4,'Inventory-Master'!$B$3:$B$32,0)),"")</f>
        <v>Paper Products</v>
      </c>
      <c r="F4" s="6">
        <v>20</v>
      </c>
      <c r="G4" s="6" t="s">
        <v>257</v>
      </c>
      <c r="H4" s="3" t="s">
        <v>261</v>
      </c>
      <c r="I4" s="6" t="s">
        <v>26</v>
      </c>
      <c r="J4" s="12">
        <v>46090</v>
      </c>
      <c r="K4" s="3"/>
      <c r="L4" s="3" t="s">
        <v>259</v>
      </c>
    </row>
    <row r="5" ht="15" customHeight="1" spans="1:12">
      <c r="A5" s="6" t="s">
        <v>262</v>
      </c>
      <c r="B5" s="12">
        <v>46101</v>
      </c>
      <c r="C5" s="6" t="s">
        <v>21</v>
      </c>
      <c r="D5" s="3" t="s">
        <v>99</v>
      </c>
      <c r="E5" s="6" t="str">
        <f>IFERROR(INDEX('Inventory-Master'!$C$3:$C$32,MATCH(D5,'Inventory-Master'!$B$3:$B$32,0)),"")</f>
        <v>Filing &amp; Storage</v>
      </c>
      <c r="F5" s="6">
        <v>10</v>
      </c>
      <c r="G5" s="6" t="s">
        <v>263</v>
      </c>
      <c r="H5" s="3" t="s">
        <v>264</v>
      </c>
      <c r="I5" s="6" t="s">
        <v>265</v>
      </c>
      <c r="J5" s="12">
        <v>46111</v>
      </c>
      <c r="K5" s="3"/>
      <c r="L5" s="3" t="s">
        <v>266</v>
      </c>
    </row>
    <row r="6" ht="15" customHeight="1" spans="1:12">
      <c r="A6" s="6" t="s">
        <v>267</v>
      </c>
      <c r="B6" s="12">
        <v>46127</v>
      </c>
      <c r="C6" s="6" t="s">
        <v>22</v>
      </c>
      <c r="D6" s="3" t="s">
        <v>117</v>
      </c>
      <c r="E6" s="6" t="str">
        <f>IFERROR(INDEX('Inventory-Master'!$C$3:$C$32,MATCH(D6,'Inventory-Master'!$B$3:$B$32,0)),"")</f>
        <v>Printing Supplies</v>
      </c>
      <c r="F6" s="6">
        <v>50</v>
      </c>
      <c r="G6" s="6" t="s">
        <v>257</v>
      </c>
      <c r="H6" s="3" t="s">
        <v>268</v>
      </c>
      <c r="I6" s="6" t="s">
        <v>269</v>
      </c>
      <c r="J6" s="12">
        <v>46139</v>
      </c>
      <c r="K6" s="3" t="s">
        <v>270</v>
      </c>
      <c r="L6" s="3" t="s">
        <v>271</v>
      </c>
    </row>
    <row r="7" ht="15" customHeight="1" spans="1:12">
      <c r="A7" s="6" t="s">
        <v>272</v>
      </c>
      <c r="B7" s="12">
        <v>46147</v>
      </c>
      <c r="C7" s="6" t="s">
        <v>25</v>
      </c>
      <c r="D7" s="3" t="s">
        <v>115</v>
      </c>
      <c r="E7" s="6" t="str">
        <f>IFERROR(INDEX('Inventory-Master'!$C$3:$C$32,MATCH(D7,'Inventory-Master'!$B$3:$B$32,0)),"")</f>
        <v>Printing Supplies</v>
      </c>
      <c r="F7" s="6">
        <v>15</v>
      </c>
      <c r="G7" s="6" t="s">
        <v>257</v>
      </c>
      <c r="H7" s="3" t="s">
        <v>273</v>
      </c>
      <c r="I7" s="6" t="s">
        <v>26</v>
      </c>
      <c r="J7" s="12">
        <v>46167</v>
      </c>
      <c r="K7" s="3"/>
      <c r="L7" s="3" t="s">
        <v>259</v>
      </c>
    </row>
    <row r="8" ht="15" customHeight="1" spans="1:12">
      <c r="A8" s="6" t="s">
        <v>274</v>
      </c>
      <c r="B8" s="12">
        <v>46185</v>
      </c>
      <c r="C8" s="6" t="s">
        <v>22</v>
      </c>
      <c r="D8" s="3" t="s">
        <v>117</v>
      </c>
      <c r="E8" s="6" t="str">
        <f>IFERROR(INDEX('Inventory-Master'!$C$3:$C$32,MATCH(D8,'Inventory-Master'!$B$3:$B$32,0)),"")</f>
        <v>Printing Supplies</v>
      </c>
      <c r="F8" s="6">
        <v>5</v>
      </c>
      <c r="G8" s="6" t="s">
        <v>263</v>
      </c>
      <c r="H8" s="3" t="s">
        <v>275</v>
      </c>
      <c r="I8" s="6" t="s">
        <v>26</v>
      </c>
      <c r="J8" s="12">
        <v>46206</v>
      </c>
      <c r="K8" s="3"/>
      <c r="L8" s="3" t="s">
        <v>259</v>
      </c>
    </row>
    <row r="9" ht="15" customHeight="1" spans="1:12">
      <c r="A9" s="6" t="s">
        <v>276</v>
      </c>
      <c r="B9" s="12">
        <v>46035</v>
      </c>
      <c r="C9" s="6" t="s">
        <v>19</v>
      </c>
      <c r="D9" s="3" t="s">
        <v>99</v>
      </c>
      <c r="E9" s="6" t="str">
        <f>IFERROR(INDEX('Inventory-Master'!$C$3:$C$32,MATCH(D9,'Inventory-Master'!$B$3:$B$32,0)),"")</f>
        <v>Filing &amp; Storage</v>
      </c>
      <c r="F9" s="6">
        <v>15</v>
      </c>
      <c r="G9" s="6" t="s">
        <v>263</v>
      </c>
      <c r="H9" s="3" t="s">
        <v>277</v>
      </c>
      <c r="I9" s="6" t="s">
        <v>269</v>
      </c>
      <c r="J9" s="12">
        <v>46047</v>
      </c>
      <c r="K9" s="3" t="s">
        <v>278</v>
      </c>
      <c r="L9" s="3" t="s">
        <v>271</v>
      </c>
    </row>
    <row r="10" ht="15" customHeight="1" spans="1:12">
      <c r="A10" s="6" t="s">
        <v>279</v>
      </c>
      <c r="B10" s="12">
        <v>46060</v>
      </c>
      <c r="C10" s="6" t="s">
        <v>19</v>
      </c>
      <c r="D10" s="3" t="s">
        <v>62</v>
      </c>
      <c r="E10" s="6" t="str">
        <f>IFERROR(INDEX('Inventory-Master'!$C$3:$C$32,MATCH(D10,'Inventory-Master'!$B$3:$B$32,0)),"")</f>
        <v>Writing Instruments</v>
      </c>
      <c r="F10" s="6">
        <v>30</v>
      </c>
      <c r="G10" s="6" t="s">
        <v>257</v>
      </c>
      <c r="H10" s="3" t="s">
        <v>280</v>
      </c>
      <c r="I10" s="6" t="s">
        <v>269</v>
      </c>
      <c r="J10" s="12">
        <v>46080</v>
      </c>
      <c r="K10" s="3" t="s">
        <v>281</v>
      </c>
      <c r="L10" s="3" t="s">
        <v>271</v>
      </c>
    </row>
    <row r="11" ht="15" customHeight="1" spans="1:12">
      <c r="A11" s="6" t="s">
        <v>282</v>
      </c>
      <c r="B11" s="12">
        <v>46109</v>
      </c>
      <c r="C11" s="6" t="s">
        <v>19</v>
      </c>
      <c r="D11" s="3" t="s">
        <v>88</v>
      </c>
      <c r="E11" s="6" t="str">
        <f>IFERROR(INDEX('Inventory-Master'!$C$3:$C$32,MATCH(D11,'Inventory-Master'!$B$3:$B$32,0)),"")</f>
        <v>Office Equipment</v>
      </c>
      <c r="F11" s="6">
        <v>15</v>
      </c>
      <c r="G11" s="6" t="s">
        <v>283</v>
      </c>
      <c r="H11" s="3" t="s">
        <v>284</v>
      </c>
      <c r="I11" s="6" t="s">
        <v>26</v>
      </c>
      <c r="J11" s="12">
        <v>46121</v>
      </c>
      <c r="K11" s="3"/>
      <c r="L11" s="3" t="s">
        <v>259</v>
      </c>
    </row>
    <row r="12" ht="15" customHeight="1" spans="1:12">
      <c r="A12" s="6" t="s">
        <v>285</v>
      </c>
      <c r="B12" s="12">
        <v>46119</v>
      </c>
      <c r="C12" s="6" t="s">
        <v>22</v>
      </c>
      <c r="D12" s="3" t="s">
        <v>111</v>
      </c>
      <c r="E12" s="6" t="str">
        <f>IFERROR(INDEX('Inventory-Master'!$C$3:$C$32,MATCH(D12,'Inventory-Master'!$B$3:$B$32,0)),"")</f>
        <v>Printing Supplies</v>
      </c>
      <c r="F12" s="6">
        <v>30</v>
      </c>
      <c r="G12" s="6" t="s">
        <v>283</v>
      </c>
      <c r="H12" s="3" t="s">
        <v>277</v>
      </c>
      <c r="I12" s="6" t="s">
        <v>269</v>
      </c>
      <c r="J12" s="12">
        <v>46134</v>
      </c>
      <c r="K12" s="3" t="s">
        <v>278</v>
      </c>
      <c r="L12" s="3" t="s">
        <v>271</v>
      </c>
    </row>
    <row r="13" ht="15" customHeight="1" spans="1:12">
      <c r="A13" s="6" t="s">
        <v>286</v>
      </c>
      <c r="B13" s="12">
        <v>46150</v>
      </c>
      <c r="C13" s="6" t="s">
        <v>27</v>
      </c>
      <c r="D13" s="3" t="s">
        <v>92</v>
      </c>
      <c r="E13" s="6" t="str">
        <f>IFERROR(INDEX('Inventory-Master'!$C$3:$C$32,MATCH(D13,'Inventory-Master'!$B$3:$B$32,0)),"")</f>
        <v>Office Equipment</v>
      </c>
      <c r="F13" s="6">
        <v>20</v>
      </c>
      <c r="G13" s="6" t="s">
        <v>257</v>
      </c>
      <c r="H13" s="3" t="s">
        <v>287</v>
      </c>
      <c r="I13" s="6" t="s">
        <v>269</v>
      </c>
      <c r="J13" s="12">
        <v>46160</v>
      </c>
      <c r="K13" s="3" t="s">
        <v>278</v>
      </c>
      <c r="L13" s="3" t="s">
        <v>271</v>
      </c>
    </row>
    <row r="14" ht="15" customHeight="1" spans="1:12">
      <c r="A14" s="6" t="s">
        <v>288</v>
      </c>
      <c r="B14" s="12">
        <v>46184</v>
      </c>
      <c r="C14" s="6" t="s">
        <v>21</v>
      </c>
      <c r="D14" s="3" t="s">
        <v>77</v>
      </c>
      <c r="E14" s="6" t="str">
        <f>IFERROR(INDEX('Inventory-Master'!$C$3:$C$32,MATCH(D14,'Inventory-Master'!$B$3:$B$32,0)),"")</f>
        <v>Writing Instruments</v>
      </c>
      <c r="F14" s="6">
        <v>50</v>
      </c>
      <c r="G14" s="6" t="s">
        <v>257</v>
      </c>
      <c r="H14" s="3" t="s">
        <v>284</v>
      </c>
      <c r="I14" s="6" t="s">
        <v>289</v>
      </c>
      <c r="J14" s="12">
        <v>46192</v>
      </c>
      <c r="K14" s="3" t="s">
        <v>281</v>
      </c>
      <c r="L14" s="3" t="s">
        <v>290</v>
      </c>
    </row>
    <row r="15" ht="15" customHeight="1" spans="1:12">
      <c r="A15" s="6" t="s">
        <v>291</v>
      </c>
      <c r="B15" s="12">
        <v>46052</v>
      </c>
      <c r="C15" s="6" t="s">
        <v>29</v>
      </c>
      <c r="D15" s="3" t="s">
        <v>48</v>
      </c>
      <c r="E15" s="6" t="str">
        <f>IFERROR(INDEX('Inventory-Master'!$C$3:$C$32,MATCH(D15,'Inventory-Master'!$B$3:$B$32,0)),"")</f>
        <v>Writing Instruments</v>
      </c>
      <c r="F15" s="6">
        <v>30</v>
      </c>
      <c r="G15" s="6" t="s">
        <v>283</v>
      </c>
      <c r="H15" s="3" t="s">
        <v>287</v>
      </c>
      <c r="I15" s="6" t="s">
        <v>289</v>
      </c>
      <c r="J15" s="12">
        <v>46063</v>
      </c>
      <c r="K15" s="3" t="s">
        <v>281</v>
      </c>
      <c r="L15" s="3" t="s">
        <v>290</v>
      </c>
    </row>
    <row r="16" ht="15" customHeight="1" spans="1:12">
      <c r="A16" s="6" t="s">
        <v>292</v>
      </c>
      <c r="B16" s="12">
        <v>46061</v>
      </c>
      <c r="C16" s="6" t="s">
        <v>22</v>
      </c>
      <c r="D16" s="3" t="s">
        <v>113</v>
      </c>
      <c r="E16" s="6" t="str">
        <f>IFERROR(INDEX('Inventory-Master'!$C$3:$C$32,MATCH(D16,'Inventory-Master'!$B$3:$B$32,0)),"")</f>
        <v>Printing Supplies</v>
      </c>
      <c r="F16" s="6">
        <v>25</v>
      </c>
      <c r="G16" s="6" t="s">
        <v>283</v>
      </c>
      <c r="H16" s="3" t="s">
        <v>277</v>
      </c>
      <c r="I16" s="6" t="s">
        <v>289</v>
      </c>
      <c r="J16" s="12">
        <v>46071</v>
      </c>
      <c r="K16" s="3" t="s">
        <v>281</v>
      </c>
      <c r="L16" s="3" t="s">
        <v>290</v>
      </c>
    </row>
    <row r="17" ht="15" customHeight="1" spans="1:12">
      <c r="A17" s="6" t="s">
        <v>293</v>
      </c>
      <c r="B17" s="12">
        <v>46098</v>
      </c>
      <c r="C17" s="6" t="s">
        <v>31</v>
      </c>
      <c r="D17" s="3" t="s">
        <v>66</v>
      </c>
      <c r="E17" s="6" t="str">
        <f>IFERROR(INDEX('Inventory-Master'!$C$3:$C$32,MATCH(D17,'Inventory-Master'!$B$3:$B$32,0)),"")</f>
        <v>Office Equipment</v>
      </c>
      <c r="F17" s="6">
        <v>50</v>
      </c>
      <c r="G17" s="6" t="s">
        <v>257</v>
      </c>
      <c r="H17" s="3" t="s">
        <v>261</v>
      </c>
      <c r="I17" s="6" t="s">
        <v>26</v>
      </c>
      <c r="J17" s="12">
        <v>46107</v>
      </c>
      <c r="K17" s="3"/>
      <c r="L17" s="3" t="s">
        <v>259</v>
      </c>
    </row>
    <row r="18" ht="15" customHeight="1" spans="1:12">
      <c r="A18" s="6" t="s">
        <v>294</v>
      </c>
      <c r="B18" s="12">
        <v>46138</v>
      </c>
      <c r="C18" s="6" t="s">
        <v>33</v>
      </c>
      <c r="D18" s="3" t="s">
        <v>103</v>
      </c>
      <c r="E18" s="6" t="str">
        <f>IFERROR(INDEX('Inventory-Master'!$C$3:$C$32,MATCH(D18,'Inventory-Master'!$B$3:$B$32,0)),"")</f>
        <v>Stationery</v>
      </c>
      <c r="F18" s="6">
        <v>5</v>
      </c>
      <c r="G18" s="6" t="s">
        <v>283</v>
      </c>
      <c r="H18" s="3" t="s">
        <v>277</v>
      </c>
      <c r="I18" s="6" t="s">
        <v>269</v>
      </c>
      <c r="J18" s="12">
        <v>46153</v>
      </c>
      <c r="K18" s="3" t="s">
        <v>270</v>
      </c>
      <c r="L18" s="3" t="s">
        <v>271</v>
      </c>
    </row>
    <row r="19" ht="15" customHeight="1" spans="1:12">
      <c r="A19" s="6" t="s">
        <v>295</v>
      </c>
      <c r="B19" s="12">
        <v>46160</v>
      </c>
      <c r="C19" s="6" t="s">
        <v>21</v>
      </c>
      <c r="D19" s="3" t="s">
        <v>108</v>
      </c>
      <c r="E19" s="6" t="str">
        <f>IFERROR(INDEX('Inventory-Master'!$C$3:$C$32,MATCH(D19,'Inventory-Master'!$B$3:$B$32,0)),"")</f>
        <v>Printing Supplies</v>
      </c>
      <c r="F19" s="6">
        <v>30</v>
      </c>
      <c r="G19" s="6" t="s">
        <v>257</v>
      </c>
      <c r="H19" s="3" t="s">
        <v>275</v>
      </c>
      <c r="I19" s="6" t="s">
        <v>269</v>
      </c>
      <c r="J19" s="12">
        <v>46179</v>
      </c>
      <c r="K19" s="3" t="s">
        <v>278</v>
      </c>
      <c r="L19" s="3" t="s">
        <v>271</v>
      </c>
    </row>
    <row r="20" ht="15" customHeight="1" spans="1:12">
      <c r="A20" s="6" t="s">
        <v>296</v>
      </c>
      <c r="B20" s="12">
        <v>46184</v>
      </c>
      <c r="C20" s="6" t="s">
        <v>19</v>
      </c>
      <c r="D20" s="3" t="s">
        <v>81</v>
      </c>
      <c r="E20" s="6" t="str">
        <f>IFERROR(INDEX('Inventory-Master'!$C$3:$C$32,MATCH(D20,'Inventory-Master'!$B$3:$B$32,0)),"")</f>
        <v>Office Equipment</v>
      </c>
      <c r="F20" s="6">
        <v>20</v>
      </c>
      <c r="G20" s="6" t="s">
        <v>257</v>
      </c>
      <c r="H20" s="3" t="s">
        <v>297</v>
      </c>
      <c r="I20" s="6" t="s">
        <v>269</v>
      </c>
      <c r="J20" s="12">
        <v>46205</v>
      </c>
      <c r="K20" s="3" t="s">
        <v>278</v>
      </c>
      <c r="L20" s="3" t="s">
        <v>271</v>
      </c>
    </row>
    <row r="21" ht="15" customHeight="1" spans="1:12">
      <c r="A21" s="6" t="s">
        <v>298</v>
      </c>
      <c r="B21" s="12">
        <v>46031</v>
      </c>
      <c r="C21" s="6" t="s">
        <v>27</v>
      </c>
      <c r="D21" s="3" t="s">
        <v>97</v>
      </c>
      <c r="E21" s="6" t="str">
        <f>IFERROR(INDEX('Inventory-Master'!$C$3:$C$32,MATCH(D21,'Inventory-Master'!$B$3:$B$32,0)),"")</f>
        <v>Filing &amp; Storage</v>
      </c>
      <c r="F21" s="6">
        <v>5</v>
      </c>
      <c r="G21" s="6" t="s">
        <v>263</v>
      </c>
      <c r="H21" s="3" t="s">
        <v>280</v>
      </c>
      <c r="I21" s="6" t="s">
        <v>269</v>
      </c>
      <c r="J21" s="12">
        <v>46046</v>
      </c>
      <c r="K21" s="3" t="s">
        <v>278</v>
      </c>
      <c r="L21" s="3" t="s">
        <v>271</v>
      </c>
    </row>
    <row r="22" ht="15" customHeight="1" spans="1:12">
      <c r="A22" s="6" t="s">
        <v>299</v>
      </c>
      <c r="B22" s="12">
        <v>46060</v>
      </c>
      <c r="C22" s="6" t="s">
        <v>27</v>
      </c>
      <c r="D22" s="3" t="s">
        <v>86</v>
      </c>
      <c r="E22" s="6" t="str">
        <f>IFERROR(INDEX('Inventory-Master'!$C$3:$C$32,MATCH(D22,'Inventory-Master'!$B$3:$B$32,0)),"")</f>
        <v>Office Equipment</v>
      </c>
      <c r="F22" s="6">
        <v>50</v>
      </c>
      <c r="G22" s="6" t="s">
        <v>257</v>
      </c>
      <c r="H22" s="3" t="s">
        <v>275</v>
      </c>
      <c r="I22" s="6" t="s">
        <v>269</v>
      </c>
      <c r="J22" s="12">
        <v>46076</v>
      </c>
      <c r="K22" s="3" t="s">
        <v>270</v>
      </c>
      <c r="L22" s="3" t="s">
        <v>271</v>
      </c>
    </row>
    <row r="23" ht="15" customHeight="1" spans="1:12">
      <c r="A23" s="6" t="s">
        <v>300</v>
      </c>
      <c r="B23" s="12">
        <v>46097</v>
      </c>
      <c r="C23" s="6" t="s">
        <v>21</v>
      </c>
      <c r="D23" s="3" t="s">
        <v>70</v>
      </c>
      <c r="E23" s="6" t="str">
        <f>IFERROR(INDEX('Inventory-Master'!$C$3:$C$32,MATCH(D23,'Inventory-Master'!$B$3:$B$32,0)),"")</f>
        <v>Office Equipment</v>
      </c>
      <c r="F23" s="6">
        <v>15</v>
      </c>
      <c r="G23" s="6" t="s">
        <v>263</v>
      </c>
      <c r="H23" s="3" t="s">
        <v>280</v>
      </c>
      <c r="I23" s="6" t="s">
        <v>289</v>
      </c>
      <c r="J23" s="12">
        <v>46107</v>
      </c>
      <c r="K23" s="3" t="s">
        <v>278</v>
      </c>
      <c r="L23" s="3" t="s">
        <v>290</v>
      </c>
    </row>
    <row r="24" ht="15" customHeight="1" spans="1:12">
      <c r="A24" s="6" t="s">
        <v>301</v>
      </c>
      <c r="B24" s="12">
        <v>46115</v>
      </c>
      <c r="C24" s="6" t="s">
        <v>19</v>
      </c>
      <c r="D24" s="3" t="s">
        <v>113</v>
      </c>
      <c r="E24" s="6" t="str">
        <f>IFERROR(INDEX('Inventory-Master'!$C$3:$C$32,MATCH(D24,'Inventory-Master'!$B$3:$B$32,0)),"")</f>
        <v>Printing Supplies</v>
      </c>
      <c r="F24" s="6">
        <v>20</v>
      </c>
      <c r="G24" s="6" t="s">
        <v>263</v>
      </c>
      <c r="H24" s="3" t="s">
        <v>275</v>
      </c>
      <c r="I24" s="6" t="s">
        <v>269</v>
      </c>
      <c r="J24" s="12">
        <v>46124</v>
      </c>
      <c r="K24" s="3" t="s">
        <v>278</v>
      </c>
      <c r="L24" s="3" t="s">
        <v>271</v>
      </c>
    </row>
    <row r="25" ht="15" customHeight="1" spans="1:12">
      <c r="A25" s="6" t="s">
        <v>302</v>
      </c>
      <c r="B25" s="12">
        <v>46158</v>
      </c>
      <c r="C25" s="6" t="s">
        <v>27</v>
      </c>
      <c r="D25" s="3" t="s">
        <v>79</v>
      </c>
      <c r="E25" s="6" t="str">
        <f>IFERROR(INDEX('Inventory-Master'!$C$3:$C$32,MATCH(D25,'Inventory-Master'!$B$3:$B$32,0)),"")</f>
        <v>Writing Instruments</v>
      </c>
      <c r="F25" s="6">
        <v>25</v>
      </c>
      <c r="G25" s="6" t="s">
        <v>263</v>
      </c>
      <c r="H25" s="3" t="s">
        <v>273</v>
      </c>
      <c r="I25" s="6" t="s">
        <v>269</v>
      </c>
      <c r="J25" s="12">
        <v>46179</v>
      </c>
      <c r="K25" s="3" t="s">
        <v>278</v>
      </c>
      <c r="L25" s="3" t="s">
        <v>271</v>
      </c>
    </row>
    <row r="26" ht="15" customHeight="1" spans="1:12">
      <c r="A26" s="6" t="s">
        <v>303</v>
      </c>
      <c r="B26" s="12">
        <v>46198</v>
      </c>
      <c r="C26" s="6" t="s">
        <v>25</v>
      </c>
      <c r="D26" s="3" t="s">
        <v>111</v>
      </c>
      <c r="E26" s="6" t="str">
        <f>IFERROR(INDEX('Inventory-Master'!$C$3:$C$32,MATCH(D26,'Inventory-Master'!$B$3:$B$32,0)),"")</f>
        <v>Printing Supplies</v>
      </c>
      <c r="F26" s="6">
        <v>15</v>
      </c>
      <c r="G26" s="6" t="s">
        <v>283</v>
      </c>
      <c r="H26" s="3" t="s">
        <v>287</v>
      </c>
      <c r="I26" s="6" t="s">
        <v>269</v>
      </c>
      <c r="J26" s="12">
        <v>46212</v>
      </c>
      <c r="K26" s="3" t="s">
        <v>278</v>
      </c>
      <c r="L26" s="3" t="s">
        <v>271</v>
      </c>
    </row>
    <row r="27" ht="15" customHeight="1" spans="1:12">
      <c r="A27" s="6" t="s">
        <v>304</v>
      </c>
      <c r="B27" s="12">
        <v>46037</v>
      </c>
      <c r="C27" s="6" t="s">
        <v>19</v>
      </c>
      <c r="D27" s="3" t="s">
        <v>77</v>
      </c>
      <c r="E27" s="6" t="str">
        <f>IFERROR(INDEX('Inventory-Master'!$C$3:$C$32,MATCH(D27,'Inventory-Master'!$B$3:$B$32,0)),"")</f>
        <v>Writing Instruments</v>
      </c>
      <c r="F27" s="6">
        <v>10</v>
      </c>
      <c r="G27" s="6" t="s">
        <v>257</v>
      </c>
      <c r="H27" s="3" t="s">
        <v>297</v>
      </c>
      <c r="I27" s="6" t="s">
        <v>265</v>
      </c>
      <c r="J27" s="12">
        <v>46047</v>
      </c>
      <c r="K27" s="3"/>
      <c r="L27" s="3" t="s">
        <v>266</v>
      </c>
    </row>
    <row r="28" ht="15" customHeight="1" spans="1:12">
      <c r="A28" s="6" t="s">
        <v>305</v>
      </c>
      <c r="B28" s="12">
        <v>46072</v>
      </c>
      <c r="C28" s="6" t="s">
        <v>25</v>
      </c>
      <c r="D28" s="3" t="s">
        <v>58</v>
      </c>
      <c r="E28" s="6" t="str">
        <f>IFERROR(INDEX('Inventory-Master'!$C$3:$C$32,MATCH(D28,'Inventory-Master'!$B$3:$B$32,0)),"")</f>
        <v>Paper Products</v>
      </c>
      <c r="F28" s="6">
        <v>5</v>
      </c>
      <c r="G28" s="6" t="s">
        <v>263</v>
      </c>
      <c r="H28" s="3" t="s">
        <v>297</v>
      </c>
      <c r="I28" s="6" t="s">
        <v>289</v>
      </c>
      <c r="J28" s="12">
        <v>46093</v>
      </c>
      <c r="K28" s="3" t="s">
        <v>281</v>
      </c>
      <c r="L28" s="3" t="s">
        <v>290</v>
      </c>
    </row>
    <row r="29" ht="15" customHeight="1" spans="1:12">
      <c r="A29" s="6" t="s">
        <v>306</v>
      </c>
      <c r="B29" s="12">
        <v>46109</v>
      </c>
      <c r="C29" s="6" t="s">
        <v>29</v>
      </c>
      <c r="D29" s="3" t="s">
        <v>66</v>
      </c>
      <c r="E29" s="6" t="str">
        <f>IFERROR(INDEX('Inventory-Master'!$C$3:$C$32,MATCH(D29,'Inventory-Master'!$B$3:$B$32,0)),"")</f>
        <v>Office Equipment</v>
      </c>
      <c r="F29" s="6">
        <v>25</v>
      </c>
      <c r="G29" s="6" t="s">
        <v>257</v>
      </c>
      <c r="H29" s="3" t="s">
        <v>287</v>
      </c>
      <c r="I29" s="6" t="s">
        <v>289</v>
      </c>
      <c r="J29" s="12">
        <v>46124</v>
      </c>
      <c r="K29" s="3" t="s">
        <v>281</v>
      </c>
      <c r="L29" s="3" t="s">
        <v>290</v>
      </c>
    </row>
    <row r="30" ht="15" customHeight="1" spans="1:12">
      <c r="A30" s="6" t="s">
        <v>307</v>
      </c>
      <c r="B30" s="12">
        <v>46136</v>
      </c>
      <c r="C30" s="6" t="s">
        <v>31</v>
      </c>
      <c r="D30" s="3" t="s">
        <v>77</v>
      </c>
      <c r="E30" s="6" t="str">
        <f>IFERROR(INDEX('Inventory-Master'!$C$3:$C$32,MATCH(D30,'Inventory-Master'!$B$3:$B$32,0)),"")</f>
        <v>Writing Instruments</v>
      </c>
      <c r="F30" s="6">
        <v>50</v>
      </c>
      <c r="G30" s="6" t="s">
        <v>283</v>
      </c>
      <c r="H30" s="3" t="s">
        <v>273</v>
      </c>
      <c r="I30" s="6" t="s">
        <v>26</v>
      </c>
      <c r="J30" s="12">
        <v>46144</v>
      </c>
      <c r="K30" s="3"/>
      <c r="L30" s="3" t="s">
        <v>259</v>
      </c>
    </row>
    <row r="31" ht="15" customHeight="1" spans="1:12">
      <c r="A31" s="6" t="s">
        <v>308</v>
      </c>
      <c r="B31" s="12">
        <v>46164</v>
      </c>
      <c r="C31" s="6" t="s">
        <v>33</v>
      </c>
      <c r="D31" s="3" t="s">
        <v>86</v>
      </c>
      <c r="E31" s="6" t="str">
        <f>IFERROR(INDEX('Inventory-Master'!$C$3:$C$32,MATCH(D31,'Inventory-Master'!$B$3:$B$32,0)),"")</f>
        <v>Office Equipment</v>
      </c>
      <c r="F31" s="6">
        <v>20</v>
      </c>
      <c r="G31" s="6" t="s">
        <v>283</v>
      </c>
      <c r="H31" s="3" t="s">
        <v>264</v>
      </c>
      <c r="I31" s="6" t="s">
        <v>26</v>
      </c>
      <c r="J31" s="12">
        <v>46181</v>
      </c>
      <c r="K31" s="3"/>
      <c r="L31" s="3" t="s">
        <v>259</v>
      </c>
    </row>
    <row r="32" ht="15" customHeight="1" spans="1:12">
      <c r="A32" s="6" t="s">
        <v>309</v>
      </c>
      <c r="B32" s="12">
        <v>46194</v>
      </c>
      <c r="C32" s="6" t="s">
        <v>19</v>
      </c>
      <c r="D32" s="3" t="s">
        <v>62</v>
      </c>
      <c r="E32" s="6" t="str">
        <f>IFERROR(INDEX('Inventory-Master'!$C$3:$C$32,MATCH(D32,'Inventory-Master'!$B$3:$B$32,0)),"")</f>
        <v>Writing Instruments</v>
      </c>
      <c r="F32" s="6">
        <v>20</v>
      </c>
      <c r="G32" s="6" t="s">
        <v>263</v>
      </c>
      <c r="H32" s="3" t="s">
        <v>261</v>
      </c>
      <c r="I32" s="6" t="s">
        <v>289</v>
      </c>
      <c r="J32" s="12">
        <v>46204</v>
      </c>
      <c r="K32" s="3" t="s">
        <v>278</v>
      </c>
      <c r="L32" s="3" t="s">
        <v>290</v>
      </c>
    </row>
  </sheetData>
  <mergeCells count="1">
    <mergeCell ref="A1:L1"/>
  </mergeCells>
  <conditionalFormatting sqref="G3:G32">
    <cfRule type="cellIs" dxfId="53" priority="6" operator="equal">
      <formula>"Urgent"</formula>
    </cfRule>
  </conditionalFormatting>
  <conditionalFormatting sqref="I3:I32">
    <cfRule type="cellIs" dxfId="54" priority="2" operator="equal">
      <formula>"Pending"</formula>
    </cfRule>
    <cfRule type="cellIs" dxfId="56" priority="3" operator="equal">
      <formula>"Approved"</formula>
    </cfRule>
    <cfRule type="cellIs" dxfId="53" priority="4" operator="equal">
      <formula>"Rejected"</formula>
    </cfRule>
    <cfRule type="cellIs" dxfId="55" priority="5" operator="equal">
      <formula>"Fulfilled"</formula>
    </cfRule>
  </conditionalFormatting>
  <dataValidations count="4">
    <dataValidation type="list" sqref="C3:C32">
      <formula1>DepartmentList</formula1>
    </dataValidation>
    <dataValidation type="list" sqref="D3:D32">
      <formula1>ItemList</formula1>
    </dataValidation>
    <dataValidation type="list" sqref="G3:G32">
      <formula1>PriorityList</formula1>
    </dataValidation>
    <dataValidation type="list" sqref="I3:I32">
      <formula1>ReqStatusList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N30"/>
  <sheetViews>
    <sheetView showGridLines="0" zoomScale="78" zoomScaleNormal="78" workbookViewId="0">
      <pane ySplit="2" topLeftCell="A3" activePane="bottomLeft" state="frozen"/>
      <selection/>
      <selection pane="bottomLeft" activeCell="L5" sqref="L5"/>
    </sheetView>
  </sheetViews>
  <sheetFormatPr defaultColWidth="8.67592592592593" defaultRowHeight="14.4"/>
  <cols>
    <col min="1" max="1" width="11" customWidth="1"/>
    <col min="2" max="2" width="13" customWidth="1"/>
    <col min="3" max="3" width="11" customWidth="1"/>
    <col min="4" max="4" width="27.1111111111111" customWidth="1"/>
    <col min="5" max="5" width="22" customWidth="1"/>
    <col min="6" max="6" width="18" customWidth="1"/>
    <col min="7" max="7" width="12" customWidth="1"/>
    <col min="8" max="8" width="11" customWidth="1"/>
    <col min="9" max="9" width="14" customWidth="1"/>
    <col min="10" max="10" width="16" customWidth="1"/>
    <col min="11" max="11" width="15" customWidth="1"/>
    <col min="12" max="12" width="14" customWidth="1"/>
    <col min="13" max="13" width="12" customWidth="1"/>
    <col min="14" max="14" width="39.7777777777778" customWidth="1"/>
  </cols>
  <sheetData>
    <row r="1" ht="31.5" customHeight="1" spans="1:14">
      <c r="A1" s="1" t="s">
        <v>310</v>
      </c>
    </row>
    <row r="2" ht="27.75" customHeight="1" spans="1:14">
      <c r="A2" s="2" t="s">
        <v>311</v>
      </c>
      <c r="B2" s="2" t="s">
        <v>312</v>
      </c>
      <c r="C2" s="2" t="s">
        <v>247</v>
      </c>
      <c r="D2" s="2" t="s">
        <v>313</v>
      </c>
      <c r="E2" s="2" t="s">
        <v>132</v>
      </c>
      <c r="F2" s="2" t="s">
        <v>14</v>
      </c>
      <c r="G2" s="2" t="s">
        <v>50</v>
      </c>
      <c r="H2" s="2" t="s">
        <v>314</v>
      </c>
      <c r="I2" s="2" t="s">
        <v>315</v>
      </c>
      <c r="J2" s="2" t="s">
        <v>35</v>
      </c>
      <c r="K2" s="2" t="s">
        <v>316</v>
      </c>
      <c r="L2" s="2" t="s">
        <v>317</v>
      </c>
      <c r="M2" s="2" t="s">
        <v>318</v>
      </c>
      <c r="N2" s="2" t="s">
        <v>255</v>
      </c>
    </row>
    <row r="3" ht="15" customHeight="1" spans="1:14">
      <c r="A3" s="6" t="s">
        <v>319</v>
      </c>
      <c r="B3" s="12">
        <v>46054</v>
      </c>
      <c r="C3" s="6" t="s">
        <v>291</v>
      </c>
      <c r="D3" s="3" t="s">
        <v>64</v>
      </c>
      <c r="E3" s="3" t="s">
        <v>48</v>
      </c>
      <c r="F3" s="6" t="str">
        <f>IFERROR(INDEX('Inventory-Master'!$C$3:$C$32,MATCH(E3,'Inventory-Master'!$B$3:$B$32,0)),"")</f>
        <v>Writing Instruments</v>
      </c>
      <c r="G3" s="7">
        <f>IFERROR(INDEX('Inventory-Master'!$G$3:$G$32,MATCH(E3,'Inventory-Master'!$B$3:$B$32,0)),0)</f>
        <v>48</v>
      </c>
      <c r="H3" s="6">
        <v>30</v>
      </c>
      <c r="I3" s="7">
        <f t="shared" ref="I3:I30" si="0">G3*H3</f>
        <v>1440</v>
      </c>
      <c r="J3" s="6" t="s">
        <v>32</v>
      </c>
      <c r="K3" s="12">
        <v>46063</v>
      </c>
      <c r="L3" s="12">
        <v>46064</v>
      </c>
      <c r="M3" s="6">
        <f t="shared" ref="M3:M30" si="1">IFERROR(IF(L3="","",L3-B3),"")</f>
        <v>10</v>
      </c>
      <c r="N3" s="3" t="s">
        <v>320</v>
      </c>
    </row>
    <row r="4" ht="15" customHeight="1" spans="1:14">
      <c r="A4" s="6" t="s">
        <v>321</v>
      </c>
      <c r="B4" s="12">
        <v>46061</v>
      </c>
      <c r="C4" s="6" t="s">
        <v>279</v>
      </c>
      <c r="D4" s="3" t="s">
        <v>64</v>
      </c>
      <c r="E4" s="3" t="s">
        <v>62</v>
      </c>
      <c r="F4" s="6" t="str">
        <f>IFERROR(INDEX('Inventory-Master'!$C$3:$C$32,MATCH(E4,'Inventory-Master'!$B$3:$B$32,0)),"")</f>
        <v>Writing Instruments</v>
      </c>
      <c r="G4" s="7">
        <f>IFERROR(INDEX('Inventory-Master'!$G$3:$G$32,MATCH(E4,'Inventory-Master'!$B$3:$B$32,0)),0)</f>
        <v>70</v>
      </c>
      <c r="H4" s="6">
        <v>30</v>
      </c>
      <c r="I4" s="7">
        <f t="shared" si="0"/>
        <v>2100</v>
      </c>
      <c r="J4" s="6" t="s">
        <v>28</v>
      </c>
      <c r="K4" s="12">
        <v>46075</v>
      </c>
      <c r="L4" s="12"/>
      <c r="M4" s="6" t="str">
        <f t="shared" si="1"/>
        <v/>
      </c>
      <c r="N4" s="3" t="s">
        <v>322</v>
      </c>
    </row>
    <row r="5" ht="15" customHeight="1" spans="1:14">
      <c r="A5" s="6" t="s">
        <v>323</v>
      </c>
      <c r="B5" s="12">
        <v>46112</v>
      </c>
      <c r="C5" s="6" t="s">
        <v>306</v>
      </c>
      <c r="D5" s="3" t="s">
        <v>216</v>
      </c>
      <c r="E5" s="3" t="s">
        <v>66</v>
      </c>
      <c r="F5" s="6" t="str">
        <f>IFERROR(INDEX('Inventory-Master'!$C$3:$C$32,MATCH(E5,'Inventory-Master'!$B$3:$B$32,0)),"")</f>
        <v>Office Equipment</v>
      </c>
      <c r="G5" s="7">
        <f>IFERROR(INDEX('Inventory-Master'!$G$3:$G$32,MATCH(E5,'Inventory-Master'!$B$3:$B$32,0)),0)</f>
        <v>35</v>
      </c>
      <c r="H5" s="6">
        <v>25</v>
      </c>
      <c r="I5" s="7">
        <f t="shared" si="0"/>
        <v>875</v>
      </c>
      <c r="J5" s="6" t="s">
        <v>32</v>
      </c>
      <c r="K5" s="12">
        <v>46126</v>
      </c>
      <c r="L5" s="12">
        <v>46125</v>
      </c>
      <c r="M5" s="6">
        <f t="shared" si="1"/>
        <v>13</v>
      </c>
      <c r="N5" s="3" t="s">
        <v>320</v>
      </c>
    </row>
    <row r="6" ht="15" customHeight="1" spans="1:14">
      <c r="A6" s="6" t="s">
        <v>324</v>
      </c>
      <c r="B6" s="12">
        <v>46074</v>
      </c>
      <c r="C6" s="6" t="s">
        <v>305</v>
      </c>
      <c r="D6" s="3" t="s">
        <v>60</v>
      </c>
      <c r="E6" s="3" t="s">
        <v>58</v>
      </c>
      <c r="F6" s="6" t="str">
        <f>IFERROR(INDEX('Inventory-Master'!$C$3:$C$32,MATCH(E6,'Inventory-Master'!$B$3:$B$32,0)),"")</f>
        <v>Paper Products</v>
      </c>
      <c r="G6" s="7">
        <f>IFERROR(INDEX('Inventory-Master'!$G$3:$G$32,MATCH(E6,'Inventory-Master'!$B$3:$B$32,0)),0)</f>
        <v>130</v>
      </c>
      <c r="H6" s="6">
        <v>5</v>
      </c>
      <c r="I6" s="7">
        <f t="shared" si="0"/>
        <v>650</v>
      </c>
      <c r="J6" s="6" t="s">
        <v>28</v>
      </c>
      <c r="K6" s="12">
        <v>46081</v>
      </c>
      <c r="L6" s="12"/>
      <c r="M6" s="6" t="str">
        <f t="shared" si="1"/>
        <v/>
      </c>
      <c r="N6" s="3" t="s">
        <v>322</v>
      </c>
    </row>
    <row r="7" ht="15" customHeight="1" spans="1:14">
      <c r="A7" s="6" t="s">
        <v>325</v>
      </c>
      <c r="B7" s="12">
        <v>46199</v>
      </c>
      <c r="C7" s="6" t="s">
        <v>303</v>
      </c>
      <c r="D7" s="3" t="s">
        <v>238</v>
      </c>
      <c r="E7" s="3" t="s">
        <v>111</v>
      </c>
      <c r="F7" s="6" t="str">
        <f>IFERROR(INDEX('Inventory-Master'!$C$3:$C$32,MATCH(E7,'Inventory-Master'!$B$3:$B$32,0)),"")</f>
        <v>Printing Supplies</v>
      </c>
      <c r="G7" s="7">
        <f>IFERROR(INDEX('Inventory-Master'!$G$3:$G$32,MATCH(E7,'Inventory-Master'!$B$3:$B$32,0)),0)</f>
        <v>100</v>
      </c>
      <c r="H7" s="6">
        <v>15</v>
      </c>
      <c r="I7" s="7">
        <f t="shared" si="0"/>
        <v>1500</v>
      </c>
      <c r="J7" s="6" t="s">
        <v>26</v>
      </c>
      <c r="K7" s="12">
        <v>46213</v>
      </c>
      <c r="L7" s="12"/>
      <c r="M7" s="6" t="str">
        <f t="shared" si="1"/>
        <v/>
      </c>
      <c r="N7" s="3" t="s">
        <v>326</v>
      </c>
    </row>
    <row r="8" ht="15" customHeight="1" spans="1:14">
      <c r="A8" s="6" t="s">
        <v>327</v>
      </c>
      <c r="B8" s="12">
        <v>46162</v>
      </c>
      <c r="C8" s="6" t="s">
        <v>295</v>
      </c>
      <c r="D8" s="3" t="s">
        <v>109</v>
      </c>
      <c r="E8" s="3" t="s">
        <v>108</v>
      </c>
      <c r="F8" s="6" t="str">
        <f>IFERROR(INDEX('Inventory-Master'!$C$3:$C$32,MATCH(E8,'Inventory-Master'!$B$3:$B$32,0)),"")</f>
        <v>Printing Supplies</v>
      </c>
      <c r="G8" s="7">
        <f>IFERROR(INDEX('Inventory-Master'!$G$3:$G$32,MATCH(E8,'Inventory-Master'!$B$3:$B$32,0)),0)</f>
        <v>100</v>
      </c>
      <c r="H8" s="6">
        <v>30</v>
      </c>
      <c r="I8" s="7">
        <f t="shared" si="0"/>
        <v>3000</v>
      </c>
      <c r="J8" s="6" t="s">
        <v>34</v>
      </c>
      <c r="K8" s="12">
        <v>46170</v>
      </c>
      <c r="L8" s="12"/>
      <c r="M8" s="6" t="str">
        <f t="shared" si="1"/>
        <v/>
      </c>
      <c r="N8" s="3" t="s">
        <v>328</v>
      </c>
    </row>
    <row r="9" ht="15" customHeight="1" spans="1:14">
      <c r="A9" s="6" t="s">
        <v>329</v>
      </c>
      <c r="B9" s="12">
        <v>46033</v>
      </c>
      <c r="C9" s="6" t="s">
        <v>298</v>
      </c>
      <c r="D9" s="3" t="s">
        <v>95</v>
      </c>
      <c r="E9" s="3" t="s">
        <v>97</v>
      </c>
      <c r="F9" s="6" t="str">
        <f>IFERROR(INDEX('Inventory-Master'!$C$3:$C$32,MATCH(E9,'Inventory-Master'!$B$3:$B$32,0)),"")</f>
        <v>Filing &amp; Storage</v>
      </c>
      <c r="G9" s="7">
        <f>IFERROR(INDEX('Inventory-Master'!$G$3:$G$32,MATCH(E9,'Inventory-Master'!$B$3:$B$32,0)),0)</f>
        <v>150</v>
      </c>
      <c r="H9" s="6">
        <v>5</v>
      </c>
      <c r="I9" s="7">
        <f t="shared" si="0"/>
        <v>750</v>
      </c>
      <c r="J9" s="6" t="s">
        <v>32</v>
      </c>
      <c r="K9" s="12">
        <v>46043</v>
      </c>
      <c r="L9" s="12">
        <v>46044</v>
      </c>
      <c r="M9" s="6">
        <f t="shared" si="1"/>
        <v>11</v>
      </c>
      <c r="N9" s="3" t="s">
        <v>320</v>
      </c>
    </row>
    <row r="10" ht="15" customHeight="1" spans="1:14">
      <c r="A10" s="6" t="s">
        <v>330</v>
      </c>
      <c r="B10" s="12">
        <v>46185</v>
      </c>
      <c r="C10" s="6" t="s">
        <v>296</v>
      </c>
      <c r="D10" s="3" t="s">
        <v>68</v>
      </c>
      <c r="E10" s="3" t="s">
        <v>81</v>
      </c>
      <c r="F10" s="6" t="str">
        <f>IFERROR(INDEX('Inventory-Master'!$C$3:$C$32,MATCH(E10,'Inventory-Master'!$B$3:$B$32,0)),"")</f>
        <v>Office Equipment</v>
      </c>
      <c r="G10" s="7">
        <f>IFERROR(INDEX('Inventory-Master'!$G$3:$G$32,MATCH(E10,'Inventory-Master'!$B$3:$B$32,0)),0)</f>
        <v>15</v>
      </c>
      <c r="H10" s="6">
        <v>20</v>
      </c>
      <c r="I10" s="7">
        <f t="shared" si="0"/>
        <v>300</v>
      </c>
      <c r="J10" s="6" t="s">
        <v>32</v>
      </c>
      <c r="K10" s="12">
        <v>46192</v>
      </c>
      <c r="L10" s="12">
        <v>46194</v>
      </c>
      <c r="M10" s="6">
        <f t="shared" si="1"/>
        <v>9</v>
      </c>
      <c r="N10" s="3" t="s">
        <v>320</v>
      </c>
    </row>
    <row r="11" ht="15" customHeight="1" spans="1:14">
      <c r="A11" s="6" t="s">
        <v>331</v>
      </c>
      <c r="B11" s="12">
        <v>46128</v>
      </c>
      <c r="C11" s="6" t="s">
        <v>267</v>
      </c>
      <c r="D11" s="3" t="s">
        <v>238</v>
      </c>
      <c r="E11" s="3" t="s">
        <v>117</v>
      </c>
      <c r="F11" s="6" t="str">
        <f>IFERROR(INDEX('Inventory-Master'!$C$3:$C$32,MATCH(E11,'Inventory-Master'!$B$3:$B$32,0)),"")</f>
        <v>Printing Supplies</v>
      </c>
      <c r="G11" s="7">
        <f>IFERROR(INDEX('Inventory-Master'!$G$3:$G$32,MATCH(E11,'Inventory-Master'!$B$3:$B$32,0)),0)</f>
        <v>3000</v>
      </c>
      <c r="H11" s="6">
        <v>50</v>
      </c>
      <c r="I11" s="7">
        <f t="shared" si="0"/>
        <v>150000</v>
      </c>
      <c r="J11" s="6" t="s">
        <v>32</v>
      </c>
      <c r="K11" s="12">
        <v>46140</v>
      </c>
      <c r="L11" s="12">
        <v>46140</v>
      </c>
      <c r="M11" s="6">
        <f t="shared" si="1"/>
        <v>12</v>
      </c>
      <c r="N11" s="3" t="s">
        <v>320</v>
      </c>
    </row>
    <row r="12" ht="15" customHeight="1" spans="1:14">
      <c r="A12" s="6" t="s">
        <v>332</v>
      </c>
      <c r="B12" s="12">
        <v>46062</v>
      </c>
      <c r="C12" s="6" t="s">
        <v>299</v>
      </c>
      <c r="D12" s="3" t="s">
        <v>216</v>
      </c>
      <c r="E12" s="3" t="s">
        <v>86</v>
      </c>
      <c r="F12" s="6" t="str">
        <f>IFERROR(INDEX('Inventory-Master'!$C$3:$C$32,MATCH(E12,'Inventory-Master'!$B$3:$B$32,0)),"")</f>
        <v>Office Equipment</v>
      </c>
      <c r="G12" s="7">
        <f>IFERROR(INDEX('Inventory-Master'!$G$3:$G$32,MATCH(E12,'Inventory-Master'!$B$3:$B$32,0)),0)</f>
        <v>10</v>
      </c>
      <c r="H12" s="6">
        <v>50</v>
      </c>
      <c r="I12" s="7">
        <f t="shared" si="0"/>
        <v>500</v>
      </c>
      <c r="J12" s="6" t="s">
        <v>28</v>
      </c>
      <c r="K12" s="12">
        <v>46075</v>
      </c>
      <c r="L12" s="12"/>
      <c r="M12" s="6" t="str">
        <f t="shared" si="1"/>
        <v/>
      </c>
      <c r="N12" s="3" t="s">
        <v>322</v>
      </c>
    </row>
    <row r="13" ht="23.25" customHeight="1" spans="1:14">
      <c r="A13" s="6" t="s">
        <v>333</v>
      </c>
      <c r="B13" s="12">
        <v>46160</v>
      </c>
      <c r="C13" s="6" t="s">
        <v>302</v>
      </c>
      <c r="D13" s="3" t="s">
        <v>64</v>
      </c>
      <c r="E13" s="3" t="s">
        <v>79</v>
      </c>
      <c r="F13" s="6" t="str">
        <f>IFERROR(INDEX('Inventory-Master'!$C$3:$C$32,MATCH(E13,'Inventory-Master'!$B$3:$B$32,0)),"")</f>
        <v>Writing Instruments</v>
      </c>
      <c r="G13" s="7">
        <f>IFERROR(INDEX('Inventory-Master'!$G$3:$G$32,MATCH(E13,'Inventory-Master'!$B$3:$B$32,0)),0)</f>
        <v>15</v>
      </c>
      <c r="H13" s="6">
        <v>25</v>
      </c>
      <c r="I13" s="7">
        <f t="shared" si="0"/>
        <v>375</v>
      </c>
      <c r="J13" s="6" t="s">
        <v>30</v>
      </c>
      <c r="K13" s="12">
        <v>46168</v>
      </c>
      <c r="L13" s="12">
        <v>46168</v>
      </c>
      <c r="M13" s="6">
        <f t="shared" si="1"/>
        <v>8</v>
      </c>
      <c r="N13" s="3" t="s">
        <v>334</v>
      </c>
    </row>
    <row r="14" ht="15" customHeight="1" spans="1:14">
      <c r="A14" s="6" t="s">
        <v>335</v>
      </c>
      <c r="B14" s="12">
        <v>46198</v>
      </c>
      <c r="C14" s="6" t="s">
        <v>309</v>
      </c>
      <c r="D14" s="3" t="s">
        <v>64</v>
      </c>
      <c r="E14" s="3" t="s">
        <v>62</v>
      </c>
      <c r="F14" s="6" t="str">
        <f>IFERROR(INDEX('Inventory-Master'!$C$3:$C$32,MATCH(E14,'Inventory-Master'!$B$3:$B$32,0)),"")</f>
        <v>Writing Instruments</v>
      </c>
      <c r="G14" s="7">
        <f>IFERROR(INDEX('Inventory-Master'!$G$3:$G$32,MATCH(E14,'Inventory-Master'!$B$3:$B$32,0)),0)</f>
        <v>70</v>
      </c>
      <c r="H14" s="6">
        <v>20</v>
      </c>
      <c r="I14" s="7">
        <f t="shared" si="0"/>
        <v>1400</v>
      </c>
      <c r="J14" s="6" t="s">
        <v>26</v>
      </c>
      <c r="K14" s="12">
        <v>46208</v>
      </c>
      <c r="L14" s="12"/>
      <c r="M14" s="6" t="str">
        <f t="shared" si="1"/>
        <v/>
      </c>
      <c r="N14" s="3" t="s">
        <v>326</v>
      </c>
    </row>
    <row r="15" ht="15" customHeight="1" spans="1:14">
      <c r="A15" s="6" t="s">
        <v>336</v>
      </c>
      <c r="B15" s="12">
        <v>46038</v>
      </c>
      <c r="C15" s="6" t="s">
        <v>276</v>
      </c>
      <c r="D15" s="3" t="s">
        <v>95</v>
      </c>
      <c r="E15" s="3" t="s">
        <v>99</v>
      </c>
      <c r="F15" s="6" t="str">
        <f>IFERROR(INDEX('Inventory-Master'!$C$3:$C$32,MATCH(E15,'Inventory-Master'!$B$3:$B$32,0)),"")</f>
        <v>Filing &amp; Storage</v>
      </c>
      <c r="G15" s="7">
        <f>IFERROR(INDEX('Inventory-Master'!$G$3:$G$32,MATCH(E15,'Inventory-Master'!$B$3:$B$32,0)),0)</f>
        <v>750</v>
      </c>
      <c r="H15" s="6">
        <v>15</v>
      </c>
      <c r="I15" s="7">
        <f t="shared" si="0"/>
        <v>11250</v>
      </c>
      <c r="J15" s="6" t="s">
        <v>32</v>
      </c>
      <c r="K15" s="12">
        <v>46046</v>
      </c>
      <c r="L15" s="12">
        <v>46045</v>
      </c>
      <c r="M15" s="6">
        <f t="shared" si="1"/>
        <v>7</v>
      </c>
      <c r="N15" s="3" t="s">
        <v>320</v>
      </c>
    </row>
    <row r="16" ht="15" customHeight="1" spans="1:14">
      <c r="A16" s="6" t="s">
        <v>337</v>
      </c>
      <c r="B16" s="12">
        <v>46122</v>
      </c>
      <c r="C16" s="6" t="s">
        <v>285</v>
      </c>
      <c r="D16" s="3" t="s">
        <v>238</v>
      </c>
      <c r="E16" s="3" t="s">
        <v>111</v>
      </c>
      <c r="F16" s="6" t="str">
        <f>IFERROR(INDEX('Inventory-Master'!$C$3:$C$32,MATCH(E16,'Inventory-Master'!$B$3:$B$32,0)),"")</f>
        <v>Printing Supplies</v>
      </c>
      <c r="G16" s="7">
        <f>IFERROR(INDEX('Inventory-Master'!$G$3:$G$32,MATCH(E16,'Inventory-Master'!$B$3:$B$32,0)),0)</f>
        <v>100</v>
      </c>
      <c r="H16" s="6">
        <v>30</v>
      </c>
      <c r="I16" s="7">
        <f t="shared" si="0"/>
        <v>3000</v>
      </c>
      <c r="J16" s="6" t="s">
        <v>26</v>
      </c>
      <c r="K16" s="12">
        <v>46133</v>
      </c>
      <c r="L16" s="12"/>
      <c r="M16" s="6" t="str">
        <f t="shared" si="1"/>
        <v/>
      </c>
      <c r="N16" s="3" t="s">
        <v>326</v>
      </c>
    </row>
    <row r="17" ht="15" customHeight="1" spans="1:14">
      <c r="A17" s="6" t="s">
        <v>338</v>
      </c>
      <c r="B17" s="12">
        <v>46062</v>
      </c>
      <c r="C17" s="6" t="s">
        <v>292</v>
      </c>
      <c r="D17" s="3" t="s">
        <v>238</v>
      </c>
      <c r="E17" s="3" t="s">
        <v>113</v>
      </c>
      <c r="F17" s="6" t="str">
        <f>IFERROR(INDEX('Inventory-Master'!$C$3:$C$32,MATCH(E17,'Inventory-Master'!$B$3:$B$32,0)),"")</f>
        <v>Printing Supplies</v>
      </c>
      <c r="G17" s="7">
        <f>IFERROR(INDEX('Inventory-Master'!$G$3:$G$32,MATCH(E17,'Inventory-Master'!$B$3:$B$32,0)),0)</f>
        <v>100</v>
      </c>
      <c r="H17" s="6">
        <v>25</v>
      </c>
      <c r="I17" s="7">
        <f t="shared" si="0"/>
        <v>2500</v>
      </c>
      <c r="J17" s="6" t="s">
        <v>32</v>
      </c>
      <c r="K17" s="12">
        <v>46070</v>
      </c>
      <c r="L17" s="12">
        <v>46069</v>
      </c>
      <c r="M17" s="6">
        <f t="shared" si="1"/>
        <v>7</v>
      </c>
      <c r="N17" s="3" t="s">
        <v>320</v>
      </c>
    </row>
    <row r="18" ht="15" customHeight="1" spans="1:14">
      <c r="A18" s="6" t="s">
        <v>339</v>
      </c>
      <c r="B18" s="12">
        <v>46141</v>
      </c>
      <c r="C18" s="6" t="s">
        <v>294</v>
      </c>
      <c r="D18" s="3" t="s">
        <v>104</v>
      </c>
      <c r="E18" s="3" t="s">
        <v>103</v>
      </c>
      <c r="F18" s="6" t="str">
        <f>IFERROR(INDEX('Inventory-Master'!$C$3:$C$32,MATCH(E18,'Inventory-Master'!$B$3:$B$32,0)),"")</f>
        <v>Stationery</v>
      </c>
      <c r="G18" s="7">
        <f>IFERROR(INDEX('Inventory-Master'!$G$3:$G$32,MATCH(E18,'Inventory-Master'!$B$3:$B$32,0)),0)</f>
        <v>35</v>
      </c>
      <c r="H18" s="6">
        <v>5</v>
      </c>
      <c r="I18" s="7">
        <f t="shared" si="0"/>
        <v>175</v>
      </c>
      <c r="J18" s="6" t="s">
        <v>32</v>
      </c>
      <c r="K18" s="12">
        <v>46150</v>
      </c>
      <c r="L18" s="12">
        <v>46150</v>
      </c>
      <c r="M18" s="6">
        <f t="shared" si="1"/>
        <v>9</v>
      </c>
      <c r="N18" s="3" t="s">
        <v>320</v>
      </c>
    </row>
    <row r="19" ht="15" customHeight="1" spans="1:14">
      <c r="A19" s="6" t="s">
        <v>340</v>
      </c>
      <c r="B19" s="12">
        <v>46187</v>
      </c>
      <c r="C19" s="6" t="s">
        <v>288</v>
      </c>
      <c r="D19" s="3" t="s">
        <v>64</v>
      </c>
      <c r="E19" s="3" t="s">
        <v>77</v>
      </c>
      <c r="F19" s="6" t="str">
        <f>IFERROR(INDEX('Inventory-Master'!$C$3:$C$32,MATCH(E19,'Inventory-Master'!$B$3:$B$32,0)),"")</f>
        <v>Writing Instruments</v>
      </c>
      <c r="G19" s="7">
        <f>IFERROR(INDEX('Inventory-Master'!$G$3:$G$32,MATCH(E19,'Inventory-Master'!$B$3:$B$32,0)),0)</f>
        <v>15</v>
      </c>
      <c r="H19" s="6">
        <v>50</v>
      </c>
      <c r="I19" s="7">
        <f t="shared" si="0"/>
        <v>750</v>
      </c>
      <c r="J19" s="6" t="s">
        <v>32</v>
      </c>
      <c r="K19" s="12">
        <v>46197</v>
      </c>
      <c r="L19" s="12">
        <v>46200</v>
      </c>
      <c r="M19" s="6">
        <f t="shared" si="1"/>
        <v>13</v>
      </c>
      <c r="N19" s="3" t="s">
        <v>320</v>
      </c>
    </row>
    <row r="20" ht="15" customHeight="1" spans="1:14">
      <c r="A20" s="6" t="s">
        <v>341</v>
      </c>
      <c r="B20" s="12">
        <v>46100</v>
      </c>
      <c r="C20" s="6" t="s">
        <v>300</v>
      </c>
      <c r="D20" s="3" t="s">
        <v>216</v>
      </c>
      <c r="E20" s="3" t="s">
        <v>70</v>
      </c>
      <c r="F20" s="6" t="str">
        <f>IFERROR(INDEX('Inventory-Master'!$C$3:$C$32,MATCH(E20,'Inventory-Master'!$B$3:$B$32,0)),"")</f>
        <v>Office Equipment</v>
      </c>
      <c r="G20" s="7">
        <f>IFERROR(INDEX('Inventory-Master'!$G$3:$G$32,MATCH(E20,'Inventory-Master'!$B$3:$B$32,0)),0)</f>
        <v>40</v>
      </c>
      <c r="H20" s="6">
        <v>15</v>
      </c>
      <c r="I20" s="7">
        <f t="shared" si="0"/>
        <v>600</v>
      </c>
      <c r="J20" s="6" t="s">
        <v>28</v>
      </c>
      <c r="K20" s="12">
        <v>46107</v>
      </c>
      <c r="L20" s="12"/>
      <c r="M20" s="6" t="str">
        <f t="shared" si="1"/>
        <v/>
      </c>
      <c r="N20" s="3" t="s">
        <v>322</v>
      </c>
    </row>
    <row r="21" ht="15" customHeight="1" spans="1:14">
      <c r="A21" s="6" t="s">
        <v>342</v>
      </c>
      <c r="B21" s="12">
        <v>46151</v>
      </c>
      <c r="C21" s="6" t="s">
        <v>286</v>
      </c>
      <c r="D21" s="3" t="s">
        <v>216</v>
      </c>
      <c r="E21" s="3" t="s">
        <v>92</v>
      </c>
      <c r="F21" s="6" t="str">
        <f>IFERROR(INDEX('Inventory-Master'!$C$3:$C$32,MATCH(E21,'Inventory-Master'!$B$3:$B$32,0)),"")</f>
        <v>Office Equipment</v>
      </c>
      <c r="G21" s="7">
        <f>IFERROR(INDEX('Inventory-Master'!$G$3:$G$32,MATCH(E21,'Inventory-Master'!$B$3:$B$32,0)),0)</f>
        <v>45</v>
      </c>
      <c r="H21" s="6">
        <v>20</v>
      </c>
      <c r="I21" s="7">
        <f t="shared" si="0"/>
        <v>900</v>
      </c>
      <c r="J21" s="6" t="s">
        <v>32</v>
      </c>
      <c r="K21" s="12">
        <v>46158</v>
      </c>
      <c r="L21" s="12">
        <v>46156</v>
      </c>
      <c r="M21" s="6">
        <f t="shared" si="1"/>
        <v>5</v>
      </c>
      <c r="N21" s="3" t="s">
        <v>320</v>
      </c>
    </row>
    <row r="22" ht="15" customHeight="1" spans="1:14">
      <c r="A22" s="6" t="s">
        <v>343</v>
      </c>
      <c r="B22" s="12">
        <v>46118</v>
      </c>
      <c r="C22" s="6" t="s">
        <v>301</v>
      </c>
      <c r="D22" s="3" t="s">
        <v>109</v>
      </c>
      <c r="E22" s="3" t="s">
        <v>113</v>
      </c>
      <c r="F22" s="6" t="str">
        <f>IFERROR(INDEX('Inventory-Master'!$C$3:$C$32,MATCH(E22,'Inventory-Master'!$B$3:$B$32,0)),"")</f>
        <v>Printing Supplies</v>
      </c>
      <c r="G22" s="7">
        <f>IFERROR(INDEX('Inventory-Master'!$G$3:$G$32,MATCH(E22,'Inventory-Master'!$B$3:$B$32,0)),0)</f>
        <v>100</v>
      </c>
      <c r="H22" s="6">
        <v>20</v>
      </c>
      <c r="I22" s="7">
        <f t="shared" si="0"/>
        <v>2000</v>
      </c>
      <c r="J22" s="6" t="s">
        <v>32</v>
      </c>
      <c r="K22" s="12">
        <v>46129</v>
      </c>
      <c r="L22" s="12">
        <v>46128</v>
      </c>
      <c r="M22" s="6">
        <f t="shared" si="1"/>
        <v>10</v>
      </c>
      <c r="N22" s="3" t="s">
        <v>320</v>
      </c>
    </row>
    <row r="23" ht="15" customHeight="1" spans="1:14">
      <c r="A23" s="6" t="s">
        <v>344</v>
      </c>
      <c r="B23" s="12">
        <v>46105</v>
      </c>
      <c r="C23" s="6"/>
      <c r="D23" s="3" t="s">
        <v>216</v>
      </c>
      <c r="E23" s="3" t="s">
        <v>92</v>
      </c>
      <c r="F23" s="6" t="str">
        <f>IFERROR(INDEX('Inventory-Master'!$C$3:$C$32,MATCH(E23,'Inventory-Master'!$B$3:$B$32,0)),"")</f>
        <v>Office Equipment</v>
      </c>
      <c r="G23" s="7">
        <f>IFERROR(INDEX('Inventory-Master'!$G$3:$G$32,MATCH(E23,'Inventory-Master'!$B$3:$B$32,0)),0)</f>
        <v>45</v>
      </c>
      <c r="H23" s="6">
        <v>60</v>
      </c>
      <c r="I23" s="7">
        <f t="shared" si="0"/>
        <v>2700</v>
      </c>
      <c r="J23" s="6" t="s">
        <v>32</v>
      </c>
      <c r="K23" s="12">
        <v>46113</v>
      </c>
      <c r="L23" s="12">
        <v>46111</v>
      </c>
      <c r="M23" s="6">
        <f t="shared" si="1"/>
        <v>6</v>
      </c>
      <c r="N23" s="3" t="s">
        <v>320</v>
      </c>
    </row>
    <row r="24" ht="15" customHeight="1" spans="1:14">
      <c r="A24" s="6" t="s">
        <v>345</v>
      </c>
      <c r="B24" s="12">
        <v>46141</v>
      </c>
      <c r="C24" s="6"/>
      <c r="D24" s="3" t="s">
        <v>109</v>
      </c>
      <c r="E24" s="3" t="s">
        <v>111</v>
      </c>
      <c r="F24" s="6" t="str">
        <f>IFERROR(INDEX('Inventory-Master'!$C$3:$C$32,MATCH(E24,'Inventory-Master'!$B$3:$B$32,0)),"")</f>
        <v>Printing Supplies</v>
      </c>
      <c r="G24" s="7">
        <f>IFERROR(INDEX('Inventory-Master'!$G$3:$G$32,MATCH(E24,'Inventory-Master'!$B$3:$B$32,0)),0)</f>
        <v>100</v>
      </c>
      <c r="H24" s="6">
        <v>20</v>
      </c>
      <c r="I24" s="7">
        <f t="shared" si="0"/>
        <v>2000</v>
      </c>
      <c r="J24" s="6" t="s">
        <v>32</v>
      </c>
      <c r="K24" s="12">
        <v>46150</v>
      </c>
      <c r="L24" s="12">
        <v>46151</v>
      </c>
      <c r="M24" s="6">
        <f t="shared" si="1"/>
        <v>10</v>
      </c>
      <c r="N24" s="3" t="s">
        <v>320</v>
      </c>
    </row>
    <row r="25" ht="15" customHeight="1" spans="1:14">
      <c r="A25" s="6" t="s">
        <v>346</v>
      </c>
      <c r="B25" s="12">
        <v>46147</v>
      </c>
      <c r="C25" s="6"/>
      <c r="D25" s="3" t="s">
        <v>64</v>
      </c>
      <c r="E25" s="3" t="s">
        <v>62</v>
      </c>
      <c r="F25" s="6" t="str">
        <f>IFERROR(INDEX('Inventory-Master'!$C$3:$C$32,MATCH(E25,'Inventory-Master'!$B$3:$B$32,0)),"")</f>
        <v>Writing Instruments</v>
      </c>
      <c r="G25" s="7">
        <f>IFERROR(INDEX('Inventory-Master'!$G$3:$G$32,MATCH(E25,'Inventory-Master'!$B$3:$B$32,0)),0)</f>
        <v>70</v>
      </c>
      <c r="H25" s="6">
        <v>30</v>
      </c>
      <c r="I25" s="7">
        <f t="shared" si="0"/>
        <v>2100</v>
      </c>
      <c r="J25" s="6" t="s">
        <v>32</v>
      </c>
      <c r="K25" s="12">
        <v>46154</v>
      </c>
      <c r="L25" s="12">
        <v>46154</v>
      </c>
      <c r="M25" s="6">
        <f t="shared" si="1"/>
        <v>7</v>
      </c>
      <c r="N25" s="3" t="s">
        <v>320</v>
      </c>
    </row>
    <row r="26" ht="15" customHeight="1" spans="1:14">
      <c r="A26" s="6" t="s">
        <v>347</v>
      </c>
      <c r="B26" s="12">
        <v>46180</v>
      </c>
      <c r="C26" s="6"/>
      <c r="D26" s="3" t="s">
        <v>109</v>
      </c>
      <c r="E26" s="3" t="s">
        <v>108</v>
      </c>
      <c r="F26" s="6" t="str">
        <f>IFERROR(INDEX('Inventory-Master'!$C$3:$C$32,MATCH(E26,'Inventory-Master'!$B$3:$B$32,0)),"")</f>
        <v>Printing Supplies</v>
      </c>
      <c r="G26" s="7">
        <f>IFERROR(INDEX('Inventory-Master'!$G$3:$G$32,MATCH(E26,'Inventory-Master'!$B$3:$B$32,0)),0)</f>
        <v>100</v>
      </c>
      <c r="H26" s="6">
        <v>20</v>
      </c>
      <c r="I26" s="7">
        <f t="shared" si="0"/>
        <v>2000</v>
      </c>
      <c r="J26" s="6" t="s">
        <v>28</v>
      </c>
      <c r="K26" s="12">
        <v>46193</v>
      </c>
      <c r="L26" s="12"/>
      <c r="M26" s="6" t="str">
        <f t="shared" si="1"/>
        <v/>
      </c>
      <c r="N26" s="3" t="s">
        <v>322</v>
      </c>
    </row>
    <row r="27" ht="15" customHeight="1" spans="1:14">
      <c r="A27" s="6" t="s">
        <v>348</v>
      </c>
      <c r="B27" s="12">
        <v>46042</v>
      </c>
      <c r="C27" s="6"/>
      <c r="D27" s="3" t="s">
        <v>109</v>
      </c>
      <c r="E27" s="3" t="s">
        <v>113</v>
      </c>
      <c r="F27" s="6" t="str">
        <f>IFERROR(INDEX('Inventory-Master'!$C$3:$C$32,MATCH(E27,'Inventory-Master'!$B$3:$B$32,0)),"")</f>
        <v>Printing Supplies</v>
      </c>
      <c r="G27" s="7">
        <f>IFERROR(INDEX('Inventory-Master'!$G$3:$G$32,MATCH(E27,'Inventory-Master'!$B$3:$B$32,0)),0)</f>
        <v>100</v>
      </c>
      <c r="H27" s="6">
        <v>20</v>
      </c>
      <c r="I27" s="7">
        <f t="shared" si="0"/>
        <v>2000</v>
      </c>
      <c r="J27" s="6" t="s">
        <v>32</v>
      </c>
      <c r="K27" s="12">
        <v>46051</v>
      </c>
      <c r="L27" s="12">
        <v>46052</v>
      </c>
      <c r="M27" s="6">
        <f t="shared" si="1"/>
        <v>10</v>
      </c>
      <c r="N27" s="3" t="s">
        <v>320</v>
      </c>
    </row>
    <row r="28" ht="15" customHeight="1" spans="1:14">
      <c r="A28" s="6" t="s">
        <v>349</v>
      </c>
      <c r="B28" s="12">
        <v>46054</v>
      </c>
      <c r="C28" s="6"/>
      <c r="D28" s="3" t="s">
        <v>64</v>
      </c>
      <c r="E28" s="3" t="s">
        <v>74</v>
      </c>
      <c r="F28" s="6" t="str">
        <f>IFERROR(INDEX('Inventory-Master'!$C$3:$C$32,MATCH(E28,'Inventory-Master'!$B$3:$B$32,0)),"")</f>
        <v>Writing Instruments</v>
      </c>
      <c r="G28" s="7">
        <f>IFERROR(INDEX('Inventory-Master'!$G$3:$G$32,MATCH(E28,'Inventory-Master'!$B$3:$B$32,0)),0)</f>
        <v>50</v>
      </c>
      <c r="H28" s="6">
        <v>30</v>
      </c>
      <c r="I28" s="7">
        <f t="shared" si="0"/>
        <v>1500</v>
      </c>
      <c r="J28" s="6" t="s">
        <v>32</v>
      </c>
      <c r="K28" s="12">
        <v>46064</v>
      </c>
      <c r="L28" s="12">
        <v>46064</v>
      </c>
      <c r="M28" s="6">
        <f t="shared" si="1"/>
        <v>10</v>
      </c>
      <c r="N28" s="3" t="s">
        <v>320</v>
      </c>
    </row>
    <row r="29" ht="15" customHeight="1" spans="1:14">
      <c r="A29" s="6" t="s">
        <v>350</v>
      </c>
      <c r="B29" s="12">
        <v>46087</v>
      </c>
      <c r="C29" s="6"/>
      <c r="D29" s="3" t="s">
        <v>238</v>
      </c>
      <c r="E29" s="3" t="s">
        <v>117</v>
      </c>
      <c r="F29" s="6" t="str">
        <f>IFERROR(INDEX('Inventory-Master'!$C$3:$C$32,MATCH(E29,'Inventory-Master'!$B$3:$B$32,0)),"")</f>
        <v>Printing Supplies</v>
      </c>
      <c r="G29" s="7">
        <f>IFERROR(INDEX('Inventory-Master'!$G$3:$G$32,MATCH(E29,'Inventory-Master'!$B$3:$B$32,0)),0)</f>
        <v>3000</v>
      </c>
      <c r="H29" s="6">
        <v>10</v>
      </c>
      <c r="I29" s="7">
        <f t="shared" si="0"/>
        <v>30000</v>
      </c>
      <c r="J29" s="6" t="s">
        <v>32</v>
      </c>
      <c r="K29" s="12">
        <v>46101</v>
      </c>
      <c r="L29" s="12">
        <v>46100</v>
      </c>
      <c r="M29" s="6">
        <f t="shared" si="1"/>
        <v>13</v>
      </c>
      <c r="N29" s="3" t="s">
        <v>320</v>
      </c>
    </row>
    <row r="30" ht="15" customHeight="1" spans="1:14">
      <c r="A30" s="6" t="s">
        <v>351</v>
      </c>
      <c r="B30" s="12">
        <v>46119</v>
      </c>
      <c r="C30" s="6"/>
      <c r="D30" s="3" t="s">
        <v>120</v>
      </c>
      <c r="E30" s="3" t="s">
        <v>119</v>
      </c>
      <c r="F30" s="6" t="str">
        <f>IFERROR(INDEX('Inventory-Master'!$C$3:$C$32,MATCH(E30,'Inventory-Master'!$B$3:$B$32,0)),"")</f>
        <v>IT Accessories</v>
      </c>
      <c r="G30" s="7">
        <f>IFERROR(INDEX('Inventory-Master'!$G$3:$G$32,MATCH(E30,'Inventory-Master'!$B$3:$B$32,0)),0)</f>
        <v>600</v>
      </c>
      <c r="H30" s="6">
        <v>40</v>
      </c>
      <c r="I30" s="7">
        <f t="shared" si="0"/>
        <v>24000</v>
      </c>
      <c r="J30" s="6" t="s">
        <v>28</v>
      </c>
      <c r="K30" s="12">
        <v>46129</v>
      </c>
      <c r="L30" s="12"/>
      <c r="M30" s="6" t="str">
        <f t="shared" si="1"/>
        <v/>
      </c>
      <c r="N30" s="3" t="s">
        <v>322</v>
      </c>
    </row>
  </sheetData>
  <mergeCells count="1">
    <mergeCell ref="A1:N1"/>
  </mergeCells>
  <conditionalFormatting sqref="J3:J30">
    <cfRule type="cellIs" dxfId="54" priority="2" operator="equal">
      <formula>"Pending"</formula>
    </cfRule>
    <cfRule type="cellIs" dxfId="56" priority="3" operator="equal">
      <formula>"Ordered"</formula>
    </cfRule>
    <cfRule type="cellIs" dxfId="57" priority="4" operator="equal">
      <formula>"Partially Delivered"</formula>
    </cfRule>
    <cfRule type="cellIs" dxfId="55" priority="5" operator="equal">
      <formula>"Delivered"</formula>
    </cfRule>
    <cfRule type="cellIs" dxfId="53" priority="6" operator="equal">
      <formula>"Cancelled"</formula>
    </cfRule>
  </conditionalFormatting>
  <dataValidations count="3">
    <dataValidation type="list" sqref="D3:D30">
      <formula1>SupplierList</formula1>
    </dataValidation>
    <dataValidation type="list" sqref="E3:E30">
      <formula1>ItemList</formula1>
    </dataValidation>
    <dataValidation type="list" sqref="J3:J30">
      <formula1>POStatusList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G54"/>
  <sheetViews>
    <sheetView showGridLines="0" workbookViewId="0">
      <pane ySplit="2" topLeftCell="A3" activePane="bottomLeft" state="frozen"/>
      <selection/>
      <selection pane="bottomLeft" activeCell="G14" sqref="G14"/>
    </sheetView>
  </sheetViews>
  <sheetFormatPr defaultColWidth="8.67592592592593" defaultRowHeight="14.4" outlineLevelCol="6"/>
  <cols>
    <col min="1" max="1" width="13" customWidth="1"/>
    <col min="2" max="2" width="19" customWidth="1"/>
    <col min="3" max="3" width="16" customWidth="1"/>
    <col min="4" max="4" width="15" customWidth="1"/>
    <col min="5" max="5" width="14" customWidth="1"/>
    <col min="6" max="6" width="12" customWidth="1"/>
    <col min="7" max="7" width="15" customWidth="1"/>
  </cols>
  <sheetData>
    <row r="1" ht="31.5" customHeight="1" spans="1:7">
      <c r="A1" s="1" t="s">
        <v>352</v>
      </c>
    </row>
    <row r="2" ht="27.75" customHeight="1" spans="1:7">
      <c r="A2" s="2" t="s">
        <v>36</v>
      </c>
      <c r="B2" s="2" t="s">
        <v>14</v>
      </c>
      <c r="C2" s="2" t="s">
        <v>353</v>
      </c>
      <c r="D2" s="2" t="s">
        <v>354</v>
      </c>
      <c r="E2" s="2" t="s">
        <v>355</v>
      </c>
      <c r="F2" s="2" t="s">
        <v>356</v>
      </c>
      <c r="G2" s="2" t="s">
        <v>35</v>
      </c>
    </row>
    <row r="3" ht="15" customHeight="1" spans="1:7">
      <c r="A3" s="5">
        <v>46023</v>
      </c>
      <c r="B3" s="6" t="s">
        <v>2</v>
      </c>
      <c r="C3" s="7">
        <v>16220</v>
      </c>
      <c r="D3" s="7">
        <f>SUMIFS('Purchase-Orders'!$I$3:$I$30,'Purchase-Orders'!$B$3:$B$30,"&gt;="&amp;A3,'Purchase-Orders'!$B$3:$B$30,"&lt;"&amp;EDATE(A3,1),'Purchase-Orders'!$F$3:$F$30,B3)</f>
        <v>0</v>
      </c>
      <c r="E3" s="7">
        <f t="shared" ref="E3:E50" si="0">C3-D3</f>
        <v>16220</v>
      </c>
      <c r="F3" s="11">
        <f t="shared" ref="F3:F50" si="1">IFERROR(E3/C3,0)</f>
        <v>1</v>
      </c>
      <c r="G3" s="6" t="str">
        <f t="shared" ref="G3:G50" si="2">IF(D3&gt;C3,"Over Budget","Within Budget")</f>
        <v>Within Budget</v>
      </c>
    </row>
    <row r="4" ht="15" customHeight="1" spans="1:7">
      <c r="A4" s="5">
        <v>46023</v>
      </c>
      <c r="B4" s="6" t="s">
        <v>9</v>
      </c>
      <c r="C4" s="7">
        <v>7800</v>
      </c>
      <c r="D4" s="7">
        <f>SUMIFS('Purchase-Orders'!$I$3:$I$30,'Purchase-Orders'!$B$3:$B$30,"&gt;="&amp;A4,'Purchase-Orders'!$B$3:$B$30,"&lt;"&amp;EDATE(A4,1),'Purchase-Orders'!$F$3:$F$30,B4)</f>
        <v>0</v>
      </c>
      <c r="E4" s="7">
        <f t="shared" si="0"/>
        <v>7800</v>
      </c>
      <c r="F4" s="11">
        <f t="shared" si="1"/>
        <v>1</v>
      </c>
      <c r="G4" s="6" t="str">
        <f t="shared" si="2"/>
        <v>Within Budget</v>
      </c>
    </row>
    <row r="5" ht="15" customHeight="1" spans="1:7">
      <c r="A5" s="5">
        <v>46023</v>
      </c>
      <c r="B5" s="6" t="s">
        <v>10</v>
      </c>
      <c r="C5" s="7">
        <v>13060</v>
      </c>
      <c r="D5" s="7">
        <f>SUMIFS('Purchase-Orders'!$I$3:$I$30,'Purchase-Orders'!$B$3:$B$30,"&gt;="&amp;A5,'Purchase-Orders'!$B$3:$B$30,"&lt;"&amp;EDATE(A5,1),'Purchase-Orders'!$F$3:$F$30,B5)</f>
        <v>0</v>
      </c>
      <c r="E5" s="7">
        <f t="shared" si="0"/>
        <v>13060</v>
      </c>
      <c r="F5" s="11">
        <f t="shared" si="1"/>
        <v>1</v>
      </c>
      <c r="G5" s="6" t="str">
        <f t="shared" si="2"/>
        <v>Within Budget</v>
      </c>
    </row>
    <row r="6" ht="15" customHeight="1" spans="1:7">
      <c r="A6" s="5">
        <v>46023</v>
      </c>
      <c r="B6" s="6" t="s">
        <v>11</v>
      </c>
      <c r="C6" s="7">
        <v>16910</v>
      </c>
      <c r="D6" s="7">
        <f>SUMIFS('Purchase-Orders'!$I$3:$I$30,'Purchase-Orders'!$B$3:$B$30,"&gt;="&amp;A6,'Purchase-Orders'!$B$3:$B$30,"&lt;"&amp;EDATE(A6,1),'Purchase-Orders'!$F$3:$F$30,B6)</f>
        <v>12000</v>
      </c>
      <c r="E6" s="7">
        <f t="shared" si="0"/>
        <v>4910</v>
      </c>
      <c r="F6" s="11">
        <f t="shared" si="1"/>
        <v>0.290360733293909</v>
      </c>
      <c r="G6" s="6" t="str">
        <f t="shared" si="2"/>
        <v>Within Budget</v>
      </c>
    </row>
    <row r="7" ht="15" customHeight="1" spans="1:7">
      <c r="A7" s="5">
        <v>46023</v>
      </c>
      <c r="B7" s="6" t="s">
        <v>12</v>
      </c>
      <c r="C7" s="7">
        <v>6110</v>
      </c>
      <c r="D7" s="7">
        <f>SUMIFS('Purchase-Orders'!$I$3:$I$30,'Purchase-Orders'!$B$3:$B$30,"&gt;="&amp;A7,'Purchase-Orders'!$B$3:$B$30,"&lt;"&amp;EDATE(A7,1),'Purchase-Orders'!$F$3:$F$30,B7)</f>
        <v>0</v>
      </c>
      <c r="E7" s="7">
        <f t="shared" si="0"/>
        <v>6110</v>
      </c>
      <c r="F7" s="11">
        <f t="shared" si="1"/>
        <v>1</v>
      </c>
      <c r="G7" s="6" t="str">
        <f t="shared" si="2"/>
        <v>Within Budget</v>
      </c>
    </row>
    <row r="8" ht="15" customHeight="1" spans="1:7">
      <c r="A8" s="5">
        <v>46023</v>
      </c>
      <c r="B8" s="6" t="s">
        <v>13</v>
      </c>
      <c r="C8" s="7">
        <v>26650</v>
      </c>
      <c r="D8" s="7">
        <f>SUMIFS('Purchase-Orders'!$I$3:$I$30,'Purchase-Orders'!$B$3:$B$30,"&gt;="&amp;A8,'Purchase-Orders'!$B$3:$B$30,"&lt;"&amp;EDATE(A8,1),'Purchase-Orders'!$F$3:$F$30,B8)</f>
        <v>2000</v>
      </c>
      <c r="E8" s="7">
        <f t="shared" si="0"/>
        <v>24650</v>
      </c>
      <c r="F8" s="11">
        <f t="shared" si="1"/>
        <v>0.924953095684803</v>
      </c>
      <c r="G8" s="6" t="str">
        <f t="shared" si="2"/>
        <v>Within Budget</v>
      </c>
    </row>
    <row r="9" ht="15" customHeight="1" spans="1:7">
      <c r="A9" s="5">
        <v>46023</v>
      </c>
      <c r="B9" s="6" t="s">
        <v>18</v>
      </c>
      <c r="C9" s="7">
        <v>9490</v>
      </c>
      <c r="D9" s="7">
        <f>SUMIFS('Purchase-Orders'!$I$3:$I$30,'Purchase-Orders'!$B$3:$B$30,"&gt;="&amp;A9,'Purchase-Orders'!$B$3:$B$30,"&lt;"&amp;EDATE(A9,1),'Purchase-Orders'!$F$3:$F$30,B9)</f>
        <v>0</v>
      </c>
      <c r="E9" s="7">
        <f t="shared" si="0"/>
        <v>9490</v>
      </c>
      <c r="F9" s="11">
        <f t="shared" si="1"/>
        <v>1</v>
      </c>
      <c r="G9" s="6" t="str">
        <f t="shared" si="2"/>
        <v>Within Budget</v>
      </c>
    </row>
    <row r="10" ht="15" customHeight="1" spans="1:7">
      <c r="A10" s="5">
        <v>46023</v>
      </c>
      <c r="B10" s="6" t="s">
        <v>20</v>
      </c>
      <c r="C10" s="7">
        <v>9350</v>
      </c>
      <c r="D10" s="7">
        <f>SUMIFS('Purchase-Orders'!$I$3:$I$30,'Purchase-Orders'!$B$3:$B$30,"&gt;="&amp;A10,'Purchase-Orders'!$B$3:$B$30,"&lt;"&amp;EDATE(A10,1),'Purchase-Orders'!$F$3:$F$30,B10)</f>
        <v>0</v>
      </c>
      <c r="E10" s="7">
        <f t="shared" si="0"/>
        <v>9350</v>
      </c>
      <c r="F10" s="11">
        <f t="shared" si="1"/>
        <v>1</v>
      </c>
      <c r="G10" s="6" t="str">
        <f t="shared" si="2"/>
        <v>Within Budget</v>
      </c>
    </row>
    <row r="11" ht="15" customHeight="1" spans="1:7">
      <c r="A11" s="5">
        <v>46054</v>
      </c>
      <c r="B11" s="6" t="s">
        <v>2</v>
      </c>
      <c r="C11" s="7">
        <v>14400</v>
      </c>
      <c r="D11" s="7">
        <f>SUMIFS('Purchase-Orders'!$I$3:$I$30,'Purchase-Orders'!$B$3:$B$30,"&gt;="&amp;A11,'Purchase-Orders'!$B$3:$B$30,"&lt;"&amp;EDATE(A11,1),'Purchase-Orders'!$F$3:$F$30,B11)</f>
        <v>650</v>
      </c>
      <c r="E11" s="7">
        <f t="shared" si="0"/>
        <v>13750</v>
      </c>
      <c r="F11" s="11">
        <f t="shared" si="1"/>
        <v>0.954861111111111</v>
      </c>
      <c r="G11" s="6" t="str">
        <f t="shared" si="2"/>
        <v>Within Budget</v>
      </c>
    </row>
    <row r="12" ht="15" customHeight="1" spans="1:7">
      <c r="A12" s="5">
        <v>46054</v>
      </c>
      <c r="B12" s="6" t="s">
        <v>9</v>
      </c>
      <c r="C12" s="7">
        <v>8290</v>
      </c>
      <c r="D12" s="7">
        <f>SUMIFS('Purchase-Orders'!$I$3:$I$30,'Purchase-Orders'!$B$3:$B$30,"&gt;="&amp;A12,'Purchase-Orders'!$B$3:$B$30,"&lt;"&amp;EDATE(A12,1),'Purchase-Orders'!$F$3:$F$30,B12)</f>
        <v>5040</v>
      </c>
      <c r="E12" s="7">
        <f t="shared" si="0"/>
        <v>3250</v>
      </c>
      <c r="F12" s="11">
        <f t="shared" si="1"/>
        <v>0.392038600723764</v>
      </c>
      <c r="G12" s="6" t="str">
        <f t="shared" si="2"/>
        <v>Within Budget</v>
      </c>
    </row>
    <row r="13" ht="15" customHeight="1" spans="1:7">
      <c r="A13" s="5">
        <v>46054</v>
      </c>
      <c r="B13" s="6" t="s">
        <v>10</v>
      </c>
      <c r="C13" s="7">
        <v>12730</v>
      </c>
      <c r="D13" s="7">
        <f>SUMIFS('Purchase-Orders'!$I$3:$I$30,'Purchase-Orders'!$B$3:$B$30,"&gt;="&amp;A13,'Purchase-Orders'!$B$3:$B$30,"&lt;"&amp;EDATE(A13,1),'Purchase-Orders'!$F$3:$F$30,B13)</f>
        <v>500</v>
      </c>
      <c r="E13" s="7">
        <f t="shared" si="0"/>
        <v>12230</v>
      </c>
      <c r="F13" s="11">
        <f t="shared" si="1"/>
        <v>0.960722702278083</v>
      </c>
      <c r="G13" s="6" t="str">
        <f t="shared" si="2"/>
        <v>Within Budget</v>
      </c>
    </row>
    <row r="14" ht="15" customHeight="1" spans="1:7">
      <c r="A14" s="5">
        <v>46054</v>
      </c>
      <c r="B14" s="6" t="s">
        <v>11</v>
      </c>
      <c r="C14" s="7">
        <v>19070</v>
      </c>
      <c r="D14" s="7">
        <f>SUMIFS('Purchase-Orders'!$I$3:$I$30,'Purchase-Orders'!$B$3:$B$30,"&gt;="&amp;A14,'Purchase-Orders'!$B$3:$B$30,"&lt;"&amp;EDATE(A14,1),'Purchase-Orders'!$F$3:$F$30,B14)</f>
        <v>0</v>
      </c>
      <c r="E14" s="7">
        <f t="shared" si="0"/>
        <v>19070</v>
      </c>
      <c r="F14" s="11">
        <f t="shared" si="1"/>
        <v>1</v>
      </c>
      <c r="G14" s="6" t="str">
        <f t="shared" si="2"/>
        <v>Within Budget</v>
      </c>
    </row>
    <row r="15" ht="15" customHeight="1" spans="1:7">
      <c r="A15" s="5">
        <v>46054</v>
      </c>
      <c r="B15" s="6" t="s">
        <v>12</v>
      </c>
      <c r="C15" s="7">
        <v>6080</v>
      </c>
      <c r="D15" s="7">
        <f>SUMIFS('Purchase-Orders'!$I$3:$I$30,'Purchase-Orders'!$B$3:$B$30,"&gt;="&amp;A15,'Purchase-Orders'!$B$3:$B$30,"&lt;"&amp;EDATE(A15,1),'Purchase-Orders'!$F$3:$F$30,B15)</f>
        <v>0</v>
      </c>
      <c r="E15" s="7">
        <f t="shared" si="0"/>
        <v>6080</v>
      </c>
      <c r="F15" s="11">
        <f t="shared" si="1"/>
        <v>1</v>
      </c>
      <c r="G15" s="6" t="str">
        <f t="shared" si="2"/>
        <v>Within Budget</v>
      </c>
    </row>
    <row r="16" ht="15" customHeight="1" spans="1:7">
      <c r="A16" s="5">
        <v>46054</v>
      </c>
      <c r="B16" s="6" t="s">
        <v>13</v>
      </c>
      <c r="C16" s="7">
        <v>22710</v>
      </c>
      <c r="D16" s="7">
        <f>SUMIFS('Purchase-Orders'!$I$3:$I$30,'Purchase-Orders'!$B$3:$B$30,"&gt;="&amp;A16,'Purchase-Orders'!$B$3:$B$30,"&lt;"&amp;EDATE(A16,1),'Purchase-Orders'!$F$3:$F$30,B16)</f>
        <v>2500</v>
      </c>
      <c r="E16" s="7">
        <f t="shared" si="0"/>
        <v>20210</v>
      </c>
      <c r="F16" s="11">
        <f t="shared" si="1"/>
        <v>0.889916336415676</v>
      </c>
      <c r="G16" s="6" t="str">
        <f t="shared" si="2"/>
        <v>Within Budget</v>
      </c>
    </row>
    <row r="17" ht="15" customHeight="1" spans="1:7">
      <c r="A17" s="5">
        <v>46054</v>
      </c>
      <c r="B17" s="6" t="s">
        <v>18</v>
      </c>
      <c r="C17" s="7">
        <v>10070</v>
      </c>
      <c r="D17" s="7">
        <f>SUMIFS('Purchase-Orders'!$I$3:$I$30,'Purchase-Orders'!$B$3:$B$30,"&gt;="&amp;A17,'Purchase-Orders'!$B$3:$B$30,"&lt;"&amp;EDATE(A17,1),'Purchase-Orders'!$F$3:$F$30,B17)</f>
        <v>0</v>
      </c>
      <c r="E17" s="7">
        <f t="shared" si="0"/>
        <v>10070</v>
      </c>
      <c r="F17" s="11">
        <f t="shared" si="1"/>
        <v>1</v>
      </c>
      <c r="G17" s="6" t="str">
        <f t="shared" si="2"/>
        <v>Within Budget</v>
      </c>
    </row>
    <row r="18" ht="15" customHeight="1" spans="1:7">
      <c r="A18" s="5">
        <v>46054</v>
      </c>
      <c r="B18" s="6" t="s">
        <v>20</v>
      </c>
      <c r="C18" s="7">
        <v>9290</v>
      </c>
      <c r="D18" s="7">
        <f>SUMIFS('Purchase-Orders'!$I$3:$I$30,'Purchase-Orders'!$B$3:$B$30,"&gt;="&amp;A18,'Purchase-Orders'!$B$3:$B$30,"&lt;"&amp;EDATE(A18,1),'Purchase-Orders'!$F$3:$F$30,B18)</f>
        <v>0</v>
      </c>
      <c r="E18" s="7">
        <f t="shared" si="0"/>
        <v>9290</v>
      </c>
      <c r="F18" s="11">
        <f t="shared" si="1"/>
        <v>1</v>
      </c>
      <c r="G18" s="6" t="str">
        <f t="shared" si="2"/>
        <v>Within Budget</v>
      </c>
    </row>
    <row r="19" ht="15" customHeight="1" spans="1:7">
      <c r="A19" s="5">
        <v>46082</v>
      </c>
      <c r="B19" s="6" t="s">
        <v>2</v>
      </c>
      <c r="C19" s="7">
        <v>13710</v>
      </c>
      <c r="D19" s="7">
        <f>SUMIFS('Purchase-Orders'!$I$3:$I$30,'Purchase-Orders'!$B$3:$B$30,"&gt;="&amp;A19,'Purchase-Orders'!$B$3:$B$30,"&lt;"&amp;EDATE(A19,1),'Purchase-Orders'!$F$3:$F$30,B19)</f>
        <v>0</v>
      </c>
      <c r="E19" s="7">
        <f t="shared" si="0"/>
        <v>13710</v>
      </c>
      <c r="F19" s="11">
        <f t="shared" si="1"/>
        <v>1</v>
      </c>
      <c r="G19" s="6" t="str">
        <f t="shared" si="2"/>
        <v>Within Budget</v>
      </c>
    </row>
    <row r="20" ht="15" customHeight="1" spans="1:7">
      <c r="A20" s="5">
        <v>46082</v>
      </c>
      <c r="B20" s="6" t="s">
        <v>9</v>
      </c>
      <c r="C20" s="7">
        <v>8240</v>
      </c>
      <c r="D20" s="7">
        <f>SUMIFS('Purchase-Orders'!$I$3:$I$30,'Purchase-Orders'!$B$3:$B$30,"&gt;="&amp;A20,'Purchase-Orders'!$B$3:$B$30,"&lt;"&amp;EDATE(A20,1),'Purchase-Orders'!$F$3:$F$30,B20)</f>
        <v>0</v>
      </c>
      <c r="E20" s="7">
        <f t="shared" si="0"/>
        <v>8240</v>
      </c>
      <c r="F20" s="11">
        <f t="shared" si="1"/>
        <v>1</v>
      </c>
      <c r="G20" s="6" t="str">
        <f t="shared" si="2"/>
        <v>Within Budget</v>
      </c>
    </row>
    <row r="21" ht="15" customHeight="1" spans="1:7">
      <c r="A21" s="5">
        <v>46082</v>
      </c>
      <c r="B21" s="6" t="s">
        <v>10</v>
      </c>
      <c r="C21" s="7">
        <v>10830</v>
      </c>
      <c r="D21" s="7">
        <f>SUMIFS('Purchase-Orders'!$I$3:$I$30,'Purchase-Orders'!$B$3:$B$30,"&gt;="&amp;A21,'Purchase-Orders'!$B$3:$B$30,"&lt;"&amp;EDATE(A21,1),'Purchase-Orders'!$F$3:$F$30,B21)</f>
        <v>4175</v>
      </c>
      <c r="E21" s="7">
        <f t="shared" si="0"/>
        <v>6655</v>
      </c>
      <c r="F21" s="11">
        <f t="shared" si="1"/>
        <v>0.61449676823638</v>
      </c>
      <c r="G21" s="6" t="str">
        <f t="shared" si="2"/>
        <v>Within Budget</v>
      </c>
    </row>
    <row r="22" ht="15" customHeight="1" spans="1:7">
      <c r="A22" s="5">
        <v>46082</v>
      </c>
      <c r="B22" s="6" t="s">
        <v>11</v>
      </c>
      <c r="C22" s="7">
        <v>17710</v>
      </c>
      <c r="D22" s="7">
        <f>SUMIFS('Purchase-Orders'!$I$3:$I$30,'Purchase-Orders'!$B$3:$B$30,"&gt;="&amp;A22,'Purchase-Orders'!$B$3:$B$30,"&lt;"&amp;EDATE(A22,1),'Purchase-Orders'!$F$3:$F$30,B22)</f>
        <v>0</v>
      </c>
      <c r="E22" s="7">
        <f t="shared" si="0"/>
        <v>17710</v>
      </c>
      <c r="F22" s="11">
        <f t="shared" si="1"/>
        <v>1</v>
      </c>
      <c r="G22" s="6" t="str">
        <f t="shared" si="2"/>
        <v>Within Budget</v>
      </c>
    </row>
    <row r="23" ht="15" customHeight="1" spans="1:7">
      <c r="A23" s="5">
        <v>46082</v>
      </c>
      <c r="B23" s="6" t="s">
        <v>12</v>
      </c>
      <c r="C23" s="7">
        <v>5990</v>
      </c>
      <c r="D23" s="7">
        <f>SUMIFS('Purchase-Orders'!$I$3:$I$30,'Purchase-Orders'!$B$3:$B$30,"&gt;="&amp;A23,'Purchase-Orders'!$B$3:$B$30,"&lt;"&amp;EDATE(A23,1),'Purchase-Orders'!$F$3:$F$30,B23)</f>
        <v>0</v>
      </c>
      <c r="E23" s="7">
        <f t="shared" si="0"/>
        <v>5990</v>
      </c>
      <c r="F23" s="11">
        <f t="shared" si="1"/>
        <v>1</v>
      </c>
      <c r="G23" s="6" t="str">
        <f t="shared" si="2"/>
        <v>Within Budget</v>
      </c>
    </row>
    <row r="24" ht="15" customHeight="1" spans="1:7">
      <c r="A24" s="5">
        <v>46082</v>
      </c>
      <c r="B24" s="6" t="s">
        <v>13</v>
      </c>
      <c r="C24" s="7">
        <v>24670</v>
      </c>
      <c r="D24" s="7">
        <f>SUMIFS('Purchase-Orders'!$I$3:$I$30,'Purchase-Orders'!$B$3:$B$30,"&gt;="&amp;A24,'Purchase-Orders'!$B$3:$B$30,"&lt;"&amp;EDATE(A24,1),'Purchase-Orders'!$F$3:$F$30,B24)</f>
        <v>30000</v>
      </c>
      <c r="E24" s="7">
        <f t="shared" si="0"/>
        <v>-5330</v>
      </c>
      <c r="F24" s="11">
        <f t="shared" si="1"/>
        <v>-0.216051884880422</v>
      </c>
      <c r="G24" s="6" t="str">
        <f t="shared" si="2"/>
        <v>Over Budget</v>
      </c>
    </row>
    <row r="25" ht="15" customHeight="1" spans="1:7">
      <c r="A25" s="5">
        <v>46082</v>
      </c>
      <c r="B25" s="6" t="s">
        <v>18</v>
      </c>
      <c r="C25" s="7">
        <v>9720</v>
      </c>
      <c r="D25" s="7">
        <f>SUMIFS('Purchase-Orders'!$I$3:$I$30,'Purchase-Orders'!$B$3:$B$30,"&gt;="&amp;A25,'Purchase-Orders'!$B$3:$B$30,"&lt;"&amp;EDATE(A25,1),'Purchase-Orders'!$F$3:$F$30,B25)</f>
        <v>0</v>
      </c>
      <c r="E25" s="7">
        <f t="shared" si="0"/>
        <v>9720</v>
      </c>
      <c r="F25" s="11">
        <f t="shared" si="1"/>
        <v>1</v>
      </c>
      <c r="G25" s="6" t="str">
        <f t="shared" si="2"/>
        <v>Within Budget</v>
      </c>
    </row>
    <row r="26" ht="15" customHeight="1" spans="1:7">
      <c r="A26" s="5">
        <v>46082</v>
      </c>
      <c r="B26" s="6" t="s">
        <v>20</v>
      </c>
      <c r="C26" s="7">
        <v>9700</v>
      </c>
      <c r="D26" s="7">
        <f>SUMIFS('Purchase-Orders'!$I$3:$I$30,'Purchase-Orders'!$B$3:$B$30,"&gt;="&amp;A26,'Purchase-Orders'!$B$3:$B$30,"&lt;"&amp;EDATE(A26,1),'Purchase-Orders'!$F$3:$F$30,B26)</f>
        <v>0</v>
      </c>
      <c r="E26" s="7">
        <f t="shared" si="0"/>
        <v>9700</v>
      </c>
      <c r="F26" s="11">
        <f t="shared" si="1"/>
        <v>1</v>
      </c>
      <c r="G26" s="6" t="str">
        <f t="shared" si="2"/>
        <v>Within Budget</v>
      </c>
    </row>
    <row r="27" ht="15" customHeight="1" spans="1:7">
      <c r="A27" s="5">
        <v>46113</v>
      </c>
      <c r="B27" s="6" t="s">
        <v>2</v>
      </c>
      <c r="C27" s="7">
        <v>14880</v>
      </c>
      <c r="D27" s="7">
        <f>SUMIFS('Purchase-Orders'!$I$3:$I$30,'Purchase-Orders'!$B$3:$B$30,"&gt;="&amp;A27,'Purchase-Orders'!$B$3:$B$30,"&lt;"&amp;EDATE(A27,1),'Purchase-Orders'!$F$3:$F$30,B27)</f>
        <v>0</v>
      </c>
      <c r="E27" s="7">
        <f t="shared" si="0"/>
        <v>14880</v>
      </c>
      <c r="F27" s="11">
        <f t="shared" si="1"/>
        <v>1</v>
      </c>
      <c r="G27" s="6" t="str">
        <f t="shared" si="2"/>
        <v>Within Budget</v>
      </c>
    </row>
    <row r="28" ht="15" customHeight="1" spans="1:7">
      <c r="A28" s="5">
        <v>46113</v>
      </c>
      <c r="B28" s="6" t="s">
        <v>9</v>
      </c>
      <c r="C28" s="7">
        <v>7440</v>
      </c>
      <c r="D28" s="7">
        <f>SUMIFS('Purchase-Orders'!$I$3:$I$30,'Purchase-Orders'!$B$3:$B$30,"&gt;="&amp;A28,'Purchase-Orders'!$B$3:$B$30,"&lt;"&amp;EDATE(A28,1),'Purchase-Orders'!$F$3:$F$30,B28)</f>
        <v>0</v>
      </c>
      <c r="E28" s="7">
        <f t="shared" si="0"/>
        <v>7440</v>
      </c>
      <c r="F28" s="11">
        <f t="shared" si="1"/>
        <v>1</v>
      </c>
      <c r="G28" s="6" t="str">
        <f t="shared" si="2"/>
        <v>Within Budget</v>
      </c>
    </row>
    <row r="29" ht="15" customHeight="1" spans="1:7">
      <c r="A29" s="5">
        <v>46113</v>
      </c>
      <c r="B29" s="6" t="s">
        <v>10</v>
      </c>
      <c r="C29" s="7">
        <v>11220</v>
      </c>
      <c r="D29" s="7">
        <f>SUMIFS('Purchase-Orders'!$I$3:$I$30,'Purchase-Orders'!$B$3:$B$30,"&gt;="&amp;A29,'Purchase-Orders'!$B$3:$B$30,"&lt;"&amp;EDATE(A29,1),'Purchase-Orders'!$F$3:$F$30,B29)</f>
        <v>0</v>
      </c>
      <c r="E29" s="7">
        <f t="shared" si="0"/>
        <v>11220</v>
      </c>
      <c r="F29" s="11">
        <f t="shared" si="1"/>
        <v>1</v>
      </c>
      <c r="G29" s="6" t="str">
        <f t="shared" si="2"/>
        <v>Within Budget</v>
      </c>
    </row>
    <row r="30" ht="15" customHeight="1" spans="1:7">
      <c r="A30" s="5">
        <v>46113</v>
      </c>
      <c r="B30" s="6" t="s">
        <v>11</v>
      </c>
      <c r="C30" s="7">
        <v>18080</v>
      </c>
      <c r="D30" s="7">
        <f>SUMIFS('Purchase-Orders'!$I$3:$I$30,'Purchase-Orders'!$B$3:$B$30,"&gt;="&amp;A30,'Purchase-Orders'!$B$3:$B$30,"&lt;"&amp;EDATE(A30,1),'Purchase-Orders'!$F$3:$F$30,B30)</f>
        <v>0</v>
      </c>
      <c r="E30" s="7">
        <f t="shared" si="0"/>
        <v>18080</v>
      </c>
      <c r="F30" s="11">
        <f t="shared" si="1"/>
        <v>1</v>
      </c>
      <c r="G30" s="6" t="str">
        <f t="shared" si="2"/>
        <v>Within Budget</v>
      </c>
    </row>
    <row r="31" ht="15" customHeight="1" spans="1:7">
      <c r="A31" s="5">
        <v>46113</v>
      </c>
      <c r="B31" s="6" t="s">
        <v>12</v>
      </c>
      <c r="C31" s="7">
        <v>6180</v>
      </c>
      <c r="D31" s="7">
        <f>SUMIFS('Purchase-Orders'!$I$3:$I$30,'Purchase-Orders'!$B$3:$B$30,"&gt;="&amp;A31,'Purchase-Orders'!$B$3:$B$30,"&lt;"&amp;EDATE(A31,1),'Purchase-Orders'!$F$3:$F$30,B31)</f>
        <v>175</v>
      </c>
      <c r="E31" s="7">
        <f t="shared" si="0"/>
        <v>6005</v>
      </c>
      <c r="F31" s="11">
        <f t="shared" si="1"/>
        <v>0.97168284789644</v>
      </c>
      <c r="G31" s="6" t="str">
        <f t="shared" si="2"/>
        <v>Within Budget</v>
      </c>
    </row>
    <row r="32" ht="15" customHeight="1" spans="1:7">
      <c r="A32" s="5">
        <v>46113</v>
      </c>
      <c r="B32" s="6" t="s">
        <v>13</v>
      </c>
      <c r="C32" s="7">
        <v>25580</v>
      </c>
      <c r="D32" s="7">
        <f>SUMIFS('Purchase-Orders'!$I$3:$I$30,'Purchase-Orders'!$B$3:$B$30,"&gt;="&amp;A32,'Purchase-Orders'!$B$3:$B$30,"&lt;"&amp;EDATE(A32,1),'Purchase-Orders'!$F$3:$F$30,B32)</f>
        <v>157000</v>
      </c>
      <c r="E32" s="7">
        <f t="shared" si="0"/>
        <v>-131420</v>
      </c>
      <c r="F32" s="11">
        <f t="shared" si="1"/>
        <v>-5.13760750586396</v>
      </c>
      <c r="G32" s="6" t="str">
        <f t="shared" si="2"/>
        <v>Over Budget</v>
      </c>
    </row>
    <row r="33" ht="15" customHeight="1" spans="1:7">
      <c r="A33" s="5">
        <v>46113</v>
      </c>
      <c r="B33" s="6" t="s">
        <v>18</v>
      </c>
      <c r="C33" s="7">
        <v>10840</v>
      </c>
      <c r="D33" s="7">
        <f>SUMIFS('Purchase-Orders'!$I$3:$I$30,'Purchase-Orders'!$B$3:$B$30,"&gt;="&amp;A33,'Purchase-Orders'!$B$3:$B$30,"&lt;"&amp;EDATE(A33,1),'Purchase-Orders'!$F$3:$F$30,B33)</f>
        <v>24000</v>
      </c>
      <c r="E33" s="7">
        <f t="shared" si="0"/>
        <v>-13160</v>
      </c>
      <c r="F33" s="11">
        <f t="shared" si="1"/>
        <v>-1.2140221402214</v>
      </c>
      <c r="G33" s="6" t="str">
        <f t="shared" si="2"/>
        <v>Over Budget</v>
      </c>
    </row>
    <row r="34" ht="15" customHeight="1" spans="1:7">
      <c r="A34" s="5">
        <v>46113</v>
      </c>
      <c r="B34" s="6" t="s">
        <v>20</v>
      </c>
      <c r="C34" s="7">
        <v>9490</v>
      </c>
      <c r="D34" s="7">
        <f>SUMIFS('Purchase-Orders'!$I$3:$I$30,'Purchase-Orders'!$B$3:$B$30,"&gt;="&amp;A34,'Purchase-Orders'!$B$3:$B$30,"&lt;"&amp;EDATE(A34,1),'Purchase-Orders'!$F$3:$F$30,B34)</f>
        <v>0</v>
      </c>
      <c r="E34" s="7">
        <f t="shared" si="0"/>
        <v>9490</v>
      </c>
      <c r="F34" s="11">
        <f t="shared" si="1"/>
        <v>1</v>
      </c>
      <c r="G34" s="6" t="str">
        <f t="shared" si="2"/>
        <v>Within Budget</v>
      </c>
    </row>
    <row r="35" ht="15" customHeight="1" spans="1:7">
      <c r="A35" s="5">
        <v>46143</v>
      </c>
      <c r="B35" s="6" t="s">
        <v>2</v>
      </c>
      <c r="C35" s="7">
        <v>14890</v>
      </c>
      <c r="D35" s="7">
        <f>SUMIFS('Purchase-Orders'!$I$3:$I$30,'Purchase-Orders'!$B$3:$B$30,"&gt;="&amp;A35,'Purchase-Orders'!$B$3:$B$30,"&lt;"&amp;EDATE(A35,1),'Purchase-Orders'!$F$3:$F$30,B35)</f>
        <v>0</v>
      </c>
      <c r="E35" s="7">
        <f t="shared" si="0"/>
        <v>14890</v>
      </c>
      <c r="F35" s="11">
        <f t="shared" si="1"/>
        <v>1</v>
      </c>
      <c r="G35" s="6" t="str">
        <f t="shared" si="2"/>
        <v>Within Budget</v>
      </c>
    </row>
    <row r="36" ht="15" customHeight="1" spans="1:7">
      <c r="A36" s="5">
        <v>46143</v>
      </c>
      <c r="B36" s="6" t="s">
        <v>9</v>
      </c>
      <c r="C36" s="7">
        <v>8520</v>
      </c>
      <c r="D36" s="7">
        <f>SUMIFS('Purchase-Orders'!$I$3:$I$30,'Purchase-Orders'!$B$3:$B$30,"&gt;="&amp;A36,'Purchase-Orders'!$B$3:$B$30,"&lt;"&amp;EDATE(A36,1),'Purchase-Orders'!$F$3:$F$30,B36)</f>
        <v>2475</v>
      </c>
      <c r="E36" s="7">
        <f t="shared" si="0"/>
        <v>6045</v>
      </c>
      <c r="F36" s="11">
        <f t="shared" si="1"/>
        <v>0.709507042253521</v>
      </c>
      <c r="G36" s="6" t="str">
        <f t="shared" si="2"/>
        <v>Within Budget</v>
      </c>
    </row>
    <row r="37" ht="15" customHeight="1" spans="1:7">
      <c r="A37" s="5">
        <v>46143</v>
      </c>
      <c r="B37" s="6" t="s">
        <v>10</v>
      </c>
      <c r="C37" s="7">
        <v>12220</v>
      </c>
      <c r="D37" s="7">
        <f>SUMIFS('Purchase-Orders'!$I$3:$I$30,'Purchase-Orders'!$B$3:$B$30,"&gt;="&amp;A37,'Purchase-Orders'!$B$3:$B$30,"&lt;"&amp;EDATE(A37,1),'Purchase-Orders'!$F$3:$F$30,B37)</f>
        <v>900</v>
      </c>
      <c r="E37" s="7">
        <f t="shared" si="0"/>
        <v>11320</v>
      </c>
      <c r="F37" s="11">
        <f t="shared" si="1"/>
        <v>0.926350245499182</v>
      </c>
      <c r="G37" s="6" t="str">
        <f t="shared" si="2"/>
        <v>Within Budget</v>
      </c>
    </row>
    <row r="38" ht="15" customHeight="1" spans="1:7">
      <c r="A38" s="5">
        <v>46143</v>
      </c>
      <c r="B38" s="6" t="s">
        <v>11</v>
      </c>
      <c r="C38" s="7">
        <v>17360</v>
      </c>
      <c r="D38" s="7">
        <f>SUMIFS('Purchase-Orders'!$I$3:$I$30,'Purchase-Orders'!$B$3:$B$30,"&gt;="&amp;A38,'Purchase-Orders'!$B$3:$B$30,"&lt;"&amp;EDATE(A38,1),'Purchase-Orders'!$F$3:$F$30,B38)</f>
        <v>0</v>
      </c>
      <c r="E38" s="7">
        <f t="shared" si="0"/>
        <v>17360</v>
      </c>
      <c r="F38" s="11">
        <f t="shared" si="1"/>
        <v>1</v>
      </c>
      <c r="G38" s="6" t="str">
        <f t="shared" si="2"/>
        <v>Within Budget</v>
      </c>
    </row>
    <row r="39" ht="15" customHeight="1" spans="1:7">
      <c r="A39" s="5">
        <v>46143</v>
      </c>
      <c r="B39" s="6" t="s">
        <v>12</v>
      </c>
      <c r="C39" s="7">
        <v>5690</v>
      </c>
      <c r="D39" s="7">
        <f>SUMIFS('Purchase-Orders'!$I$3:$I$30,'Purchase-Orders'!$B$3:$B$30,"&gt;="&amp;A39,'Purchase-Orders'!$B$3:$B$30,"&lt;"&amp;EDATE(A39,1),'Purchase-Orders'!$F$3:$F$30,B39)</f>
        <v>0</v>
      </c>
      <c r="E39" s="7">
        <f t="shared" si="0"/>
        <v>5690</v>
      </c>
      <c r="F39" s="11">
        <f t="shared" si="1"/>
        <v>1</v>
      </c>
      <c r="G39" s="6" t="str">
        <f t="shared" si="2"/>
        <v>Within Budget</v>
      </c>
    </row>
    <row r="40" ht="15" customHeight="1" spans="1:7">
      <c r="A40" s="5">
        <v>46143</v>
      </c>
      <c r="B40" s="6" t="s">
        <v>13</v>
      </c>
      <c r="C40" s="7">
        <v>27170</v>
      </c>
      <c r="D40" s="7">
        <f>SUMIFS('Purchase-Orders'!$I$3:$I$30,'Purchase-Orders'!$B$3:$B$30,"&gt;="&amp;A40,'Purchase-Orders'!$B$3:$B$30,"&lt;"&amp;EDATE(A40,1),'Purchase-Orders'!$F$3:$F$30,B40)</f>
        <v>3000</v>
      </c>
      <c r="E40" s="7">
        <f t="shared" si="0"/>
        <v>24170</v>
      </c>
      <c r="F40" s="11">
        <f t="shared" si="1"/>
        <v>0.889584100110416</v>
      </c>
      <c r="G40" s="6" t="str">
        <f t="shared" si="2"/>
        <v>Within Budget</v>
      </c>
    </row>
    <row r="41" ht="15" customHeight="1" spans="1:7">
      <c r="A41" s="5">
        <v>46143</v>
      </c>
      <c r="B41" s="6" t="s">
        <v>18</v>
      </c>
      <c r="C41" s="7">
        <v>9560</v>
      </c>
      <c r="D41" s="7">
        <f>SUMIFS('Purchase-Orders'!$I$3:$I$30,'Purchase-Orders'!$B$3:$B$30,"&gt;="&amp;A41,'Purchase-Orders'!$B$3:$B$30,"&lt;"&amp;EDATE(A41,1),'Purchase-Orders'!$F$3:$F$30,B41)</f>
        <v>0</v>
      </c>
      <c r="E41" s="7">
        <f t="shared" si="0"/>
        <v>9560</v>
      </c>
      <c r="F41" s="11">
        <f t="shared" si="1"/>
        <v>1</v>
      </c>
      <c r="G41" s="6" t="str">
        <f t="shared" si="2"/>
        <v>Within Budget</v>
      </c>
    </row>
    <row r="42" ht="15" customHeight="1" spans="1:7">
      <c r="A42" s="5">
        <v>46143</v>
      </c>
      <c r="B42" s="6" t="s">
        <v>20</v>
      </c>
      <c r="C42" s="7">
        <v>8910</v>
      </c>
      <c r="D42" s="7">
        <f>SUMIFS('Purchase-Orders'!$I$3:$I$30,'Purchase-Orders'!$B$3:$B$30,"&gt;="&amp;A42,'Purchase-Orders'!$B$3:$B$30,"&lt;"&amp;EDATE(A42,1),'Purchase-Orders'!$F$3:$F$30,B42)</f>
        <v>0</v>
      </c>
      <c r="E42" s="7">
        <f t="shared" si="0"/>
        <v>8910</v>
      </c>
      <c r="F42" s="11">
        <f t="shared" si="1"/>
        <v>1</v>
      </c>
      <c r="G42" s="6" t="str">
        <f t="shared" si="2"/>
        <v>Within Budget</v>
      </c>
    </row>
    <row r="43" ht="15" customHeight="1" spans="1:7">
      <c r="A43" s="5">
        <v>46174</v>
      </c>
      <c r="B43" s="6" t="s">
        <v>2</v>
      </c>
      <c r="C43" s="7">
        <v>15750</v>
      </c>
      <c r="D43" s="7">
        <f>SUMIFS('Purchase-Orders'!$I$3:$I$30,'Purchase-Orders'!$B$3:$B$30,"&gt;="&amp;A43,'Purchase-Orders'!$B$3:$B$30,"&lt;"&amp;EDATE(A43,1),'Purchase-Orders'!$F$3:$F$30,B43)</f>
        <v>0</v>
      </c>
      <c r="E43" s="7">
        <f t="shared" si="0"/>
        <v>15750</v>
      </c>
      <c r="F43" s="11">
        <f t="shared" si="1"/>
        <v>1</v>
      </c>
      <c r="G43" s="6" t="str">
        <f t="shared" si="2"/>
        <v>Within Budget</v>
      </c>
    </row>
    <row r="44" ht="15" customHeight="1" spans="1:7">
      <c r="A44" s="5">
        <v>46174</v>
      </c>
      <c r="B44" s="6" t="s">
        <v>9</v>
      </c>
      <c r="C44" s="7">
        <v>8110</v>
      </c>
      <c r="D44" s="7">
        <f>SUMIFS('Purchase-Orders'!$I$3:$I$30,'Purchase-Orders'!$B$3:$B$30,"&gt;="&amp;A44,'Purchase-Orders'!$B$3:$B$30,"&lt;"&amp;EDATE(A44,1),'Purchase-Orders'!$F$3:$F$30,B44)</f>
        <v>2150</v>
      </c>
      <c r="E44" s="7">
        <f t="shared" si="0"/>
        <v>5960</v>
      </c>
      <c r="F44" s="11">
        <f t="shared" si="1"/>
        <v>0.734895191122071</v>
      </c>
      <c r="G44" s="6" t="str">
        <f t="shared" si="2"/>
        <v>Within Budget</v>
      </c>
    </row>
    <row r="45" ht="15" customHeight="1" spans="1:7">
      <c r="A45" s="5">
        <v>46174</v>
      </c>
      <c r="B45" s="6" t="s">
        <v>10</v>
      </c>
      <c r="C45" s="7">
        <v>12400</v>
      </c>
      <c r="D45" s="7">
        <f>SUMIFS('Purchase-Orders'!$I$3:$I$30,'Purchase-Orders'!$B$3:$B$30,"&gt;="&amp;A45,'Purchase-Orders'!$B$3:$B$30,"&lt;"&amp;EDATE(A45,1),'Purchase-Orders'!$F$3:$F$30,B45)</f>
        <v>300</v>
      </c>
      <c r="E45" s="7">
        <f t="shared" si="0"/>
        <v>12100</v>
      </c>
      <c r="F45" s="11">
        <f t="shared" si="1"/>
        <v>0.975806451612903</v>
      </c>
      <c r="G45" s="6" t="str">
        <f t="shared" si="2"/>
        <v>Within Budget</v>
      </c>
    </row>
    <row r="46" ht="15" customHeight="1" spans="1:7">
      <c r="A46" s="5">
        <v>46174</v>
      </c>
      <c r="B46" s="6" t="s">
        <v>11</v>
      </c>
      <c r="C46" s="7">
        <v>17410</v>
      </c>
      <c r="D46" s="7">
        <f>SUMIFS('Purchase-Orders'!$I$3:$I$30,'Purchase-Orders'!$B$3:$B$30,"&gt;="&amp;A46,'Purchase-Orders'!$B$3:$B$30,"&lt;"&amp;EDATE(A46,1),'Purchase-Orders'!$F$3:$F$30,B46)</f>
        <v>0</v>
      </c>
      <c r="E46" s="7">
        <f t="shared" si="0"/>
        <v>17410</v>
      </c>
      <c r="F46" s="11">
        <f t="shared" si="1"/>
        <v>1</v>
      </c>
      <c r="G46" s="6" t="str">
        <f t="shared" si="2"/>
        <v>Within Budget</v>
      </c>
    </row>
    <row r="47" ht="15" customHeight="1" spans="1:7">
      <c r="A47" s="5">
        <v>46174</v>
      </c>
      <c r="B47" s="6" t="s">
        <v>12</v>
      </c>
      <c r="C47" s="7">
        <v>5990</v>
      </c>
      <c r="D47" s="7">
        <f>SUMIFS('Purchase-Orders'!$I$3:$I$30,'Purchase-Orders'!$B$3:$B$30,"&gt;="&amp;A47,'Purchase-Orders'!$B$3:$B$30,"&lt;"&amp;EDATE(A47,1),'Purchase-Orders'!$F$3:$F$30,B47)</f>
        <v>0</v>
      </c>
      <c r="E47" s="7">
        <f t="shared" si="0"/>
        <v>5990</v>
      </c>
      <c r="F47" s="11">
        <f t="shared" si="1"/>
        <v>1</v>
      </c>
      <c r="G47" s="6" t="str">
        <f t="shared" si="2"/>
        <v>Within Budget</v>
      </c>
    </row>
    <row r="48" ht="15" customHeight="1" spans="1:7">
      <c r="A48" s="5">
        <v>46174</v>
      </c>
      <c r="B48" s="6" t="s">
        <v>13</v>
      </c>
      <c r="C48" s="7">
        <v>24130</v>
      </c>
      <c r="D48" s="7">
        <f>SUMIFS('Purchase-Orders'!$I$3:$I$30,'Purchase-Orders'!$B$3:$B$30,"&gt;="&amp;A48,'Purchase-Orders'!$B$3:$B$30,"&lt;"&amp;EDATE(A48,1),'Purchase-Orders'!$F$3:$F$30,B48)</f>
        <v>3500</v>
      </c>
      <c r="E48" s="7">
        <f t="shared" si="0"/>
        <v>20630</v>
      </c>
      <c r="F48" s="11">
        <f t="shared" si="1"/>
        <v>0.85495234148363</v>
      </c>
      <c r="G48" s="6" t="str">
        <f t="shared" si="2"/>
        <v>Within Budget</v>
      </c>
    </row>
    <row r="49" ht="15" customHeight="1" spans="1:7">
      <c r="A49" s="5">
        <v>46174</v>
      </c>
      <c r="B49" s="6" t="s">
        <v>18</v>
      </c>
      <c r="C49" s="7">
        <v>9980</v>
      </c>
      <c r="D49" s="7">
        <f>SUMIFS('Purchase-Orders'!$I$3:$I$30,'Purchase-Orders'!$B$3:$B$30,"&gt;="&amp;A49,'Purchase-Orders'!$B$3:$B$30,"&lt;"&amp;EDATE(A49,1),'Purchase-Orders'!$F$3:$F$30,B49)</f>
        <v>0</v>
      </c>
      <c r="E49" s="7">
        <f t="shared" si="0"/>
        <v>9980</v>
      </c>
      <c r="F49" s="11">
        <f t="shared" si="1"/>
        <v>1</v>
      </c>
      <c r="G49" s="6" t="str">
        <f t="shared" si="2"/>
        <v>Within Budget</v>
      </c>
    </row>
    <row r="50" ht="15" customHeight="1" spans="1:7">
      <c r="A50" s="5">
        <v>46174</v>
      </c>
      <c r="B50" s="6" t="s">
        <v>20</v>
      </c>
      <c r="C50" s="7">
        <v>8740</v>
      </c>
      <c r="D50" s="7">
        <f>SUMIFS('Purchase-Orders'!$I$3:$I$30,'Purchase-Orders'!$B$3:$B$30,"&gt;="&amp;A50,'Purchase-Orders'!$B$3:$B$30,"&lt;"&amp;EDATE(A50,1),'Purchase-Orders'!$F$3:$F$30,B50)</f>
        <v>0</v>
      </c>
      <c r="E50" s="7">
        <f t="shared" si="0"/>
        <v>8740</v>
      </c>
      <c r="F50" s="11">
        <f t="shared" si="1"/>
        <v>1</v>
      </c>
      <c r="G50" s="6" t="str">
        <f t="shared" si="2"/>
        <v>Within Budget</v>
      </c>
    </row>
    <row r="53" ht="15" customHeight="1" spans="1:7">
      <c r="A53" s="4"/>
      <c r="B53" s="4"/>
      <c r="C53" s="4"/>
      <c r="D53" s="4"/>
      <c r="E53" s="4"/>
      <c r="F53" s="4"/>
      <c r="G53" s="4"/>
    </row>
    <row r="54" ht="15" customHeight="1" spans="1:7">
      <c r="A54" s="4"/>
      <c r="B54" s="4"/>
      <c r="C54" s="4"/>
      <c r="D54" s="4"/>
      <c r="E54" s="4"/>
      <c r="F54" s="4"/>
      <c r="G54" s="4"/>
    </row>
  </sheetData>
  <mergeCells count="1">
    <mergeCell ref="A1:G1"/>
  </mergeCells>
  <conditionalFormatting sqref="G3:G50">
    <cfRule type="cellIs" dxfId="53" priority="2" operator="equal">
      <formula>"Over Budget"</formula>
    </cfRule>
    <cfRule type="cellIs" dxfId="55" priority="3" operator="equal">
      <formula>"Within Budget"</formula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8F00"/>
  </sheetPr>
  <dimension ref="A1:H9"/>
  <sheetViews>
    <sheetView showGridLines="0" workbookViewId="0">
      <pane ySplit="2" topLeftCell="A3" activePane="bottomLeft" state="frozen"/>
      <selection/>
      <selection pane="bottomLeft" activeCell="D12" sqref="D12"/>
    </sheetView>
  </sheetViews>
  <sheetFormatPr defaultColWidth="8.67592592592593" defaultRowHeight="14.4" outlineLevelCol="7"/>
  <cols>
    <col min="1" max="1" width="13" customWidth="1"/>
    <col min="2" max="2" width="15" customWidth="1"/>
    <col min="3" max="3" width="19" customWidth="1"/>
    <col min="4" max="4" width="16" customWidth="1"/>
    <col min="5" max="5" width="15" customWidth="1"/>
    <col min="6" max="7" width="19" customWidth="1"/>
    <col min="8" max="8" width="14" customWidth="1"/>
  </cols>
  <sheetData>
    <row r="1" ht="31.5" customHeight="1" spans="1:8">
      <c r="A1" s="1" t="s">
        <v>357</v>
      </c>
    </row>
    <row r="2" ht="27.75" customHeight="1" spans="1:8">
      <c r="A2" s="2" t="s">
        <v>36</v>
      </c>
      <c r="B2" s="2" t="s">
        <v>358</v>
      </c>
      <c r="C2" s="2" t="s">
        <v>359</v>
      </c>
      <c r="D2" s="2" t="s">
        <v>360</v>
      </c>
      <c r="E2" s="2" t="s">
        <v>361</v>
      </c>
      <c r="F2" s="2" t="s">
        <v>362</v>
      </c>
      <c r="G2" s="2" t="s">
        <v>363</v>
      </c>
      <c r="H2" s="2" t="s">
        <v>364</v>
      </c>
    </row>
    <row r="3" ht="15" customHeight="1" spans="1:8">
      <c r="A3" s="5">
        <v>46023</v>
      </c>
      <c r="B3" s="6">
        <f>COUNTIFS('Procurement-Requests'!$B$3:$B$32,"&gt;="&amp;A3,'Procurement-Requests'!$B$3:$B$32,"&lt;"&amp;EDATE(A3,1))</f>
        <v>5</v>
      </c>
      <c r="C3" s="6">
        <f>COUNTIFS('Procurement-Requests'!$B$3:$B$32,"&gt;="&amp;A3,'Procurement-Requests'!$B$3:$B$32,"&lt;"&amp;EDATE(A3,1),'Procurement-Requests'!$I$3:$I$32,"Approved")+COUNTIFS('Procurement-Requests'!$B$3:$B$32,"&gt;="&amp;A3,'Procurement-Requests'!$B$3:$B$32,"&lt;"&amp;EDATE(A3,1),'Procurement-Requests'!$I$3:$I$32,"Fulfilled")</f>
        <v>3</v>
      </c>
      <c r="D3" s="6">
        <f>COUNTIFS('Procurement-Requests'!$B$3:$B$32,"&gt;="&amp;A3,'Procurement-Requests'!$B$3:$B$32,"&lt;"&amp;EDATE(A3,1),'Procurement-Requests'!$I$3:$I$32,"Pending")</f>
        <v>1</v>
      </c>
      <c r="E3" s="6">
        <f>COUNTIFS('Purchase-Orders'!$B$3:$B$30,"&gt;="&amp;A3,'Purchase-Orders'!$B$3:$B$30,"&lt;"&amp;EDATE(A3,1))</f>
        <v>3</v>
      </c>
      <c r="F3" s="7">
        <f>SUMIFS('Purchase-Orders'!$I$3:$I$30,'Purchase-Orders'!$B$3:$B$30,"&gt;="&amp;A3,'Purchase-Orders'!$B$3:$B$30,"&lt;"&amp;EDATE(A3,1))</f>
        <v>14000</v>
      </c>
      <c r="G3" s="7">
        <f>SUMIFS('Stock-Issuance'!$H$3:$H$47,'Stock-Issuance'!$B$3:$B$47,"&gt;="&amp;A3,'Stock-Issuance'!$B$3:$B$47,"&lt;"&amp;EDATE(A3,1))</f>
        <v>9690</v>
      </c>
      <c r="H3" s="7">
        <f t="shared" ref="H3:H9" si="0">IFERROR(F3/E3,0)</f>
        <v>4666.66666666667</v>
      </c>
    </row>
    <row r="4" ht="15" customHeight="1" spans="1:8">
      <c r="A4" s="5">
        <v>46054</v>
      </c>
      <c r="B4" s="6">
        <f>COUNTIFS('Procurement-Requests'!$B$3:$B$32,"&gt;="&amp;A4,'Procurement-Requests'!$B$3:$B$32,"&lt;"&amp;EDATE(A4,1))</f>
        <v>5</v>
      </c>
      <c r="C4" s="6">
        <f>COUNTIFS('Procurement-Requests'!$B$3:$B$32,"&gt;="&amp;A4,'Procurement-Requests'!$B$3:$B$32,"&lt;"&amp;EDATE(A4,1),'Procurement-Requests'!$I$3:$I$32,"Approved")+COUNTIFS('Procurement-Requests'!$B$3:$B$32,"&gt;="&amp;A4,'Procurement-Requests'!$B$3:$B$32,"&lt;"&amp;EDATE(A4,1),'Procurement-Requests'!$I$3:$I$32,"Fulfilled")</f>
        <v>4</v>
      </c>
      <c r="D4" s="6">
        <f>COUNTIFS('Procurement-Requests'!$B$3:$B$32,"&gt;="&amp;A4,'Procurement-Requests'!$B$3:$B$32,"&lt;"&amp;EDATE(A4,1),'Procurement-Requests'!$I$3:$I$32,"Pending")</f>
        <v>1</v>
      </c>
      <c r="E4" s="6">
        <f>COUNTIFS('Purchase-Orders'!$B$3:$B$30,"&gt;="&amp;A4,'Purchase-Orders'!$B$3:$B$30,"&lt;"&amp;EDATE(A4,1))</f>
        <v>6</v>
      </c>
      <c r="F4" s="7">
        <f>SUMIFS('Purchase-Orders'!$I$3:$I$30,'Purchase-Orders'!$B$3:$B$30,"&gt;="&amp;A4,'Purchase-Orders'!$B$3:$B$30,"&lt;"&amp;EDATE(A4,1))</f>
        <v>8690</v>
      </c>
      <c r="G4" s="7">
        <f>SUMIFS('Stock-Issuance'!$H$3:$H$47,'Stock-Issuance'!$B$3:$B$47,"&gt;="&amp;A4,'Stock-Issuance'!$B$3:$B$47,"&lt;"&amp;EDATE(A4,1))</f>
        <v>10689</v>
      </c>
      <c r="H4" s="7">
        <f t="shared" si="0"/>
        <v>1448.33333333333</v>
      </c>
    </row>
    <row r="5" ht="15" customHeight="1" spans="1:8">
      <c r="A5" s="5">
        <v>46082</v>
      </c>
      <c r="B5" s="6">
        <f>COUNTIFS('Procurement-Requests'!$B$3:$B$32,"&gt;="&amp;A5,'Procurement-Requests'!$B$3:$B$32,"&lt;"&amp;EDATE(A5,1))</f>
        <v>5</v>
      </c>
      <c r="C5" s="6">
        <f>COUNTIFS('Procurement-Requests'!$B$3:$B$32,"&gt;="&amp;A5,'Procurement-Requests'!$B$3:$B$32,"&lt;"&amp;EDATE(A5,1),'Procurement-Requests'!$I$3:$I$32,"Approved")+COUNTIFS('Procurement-Requests'!$B$3:$B$32,"&gt;="&amp;A5,'Procurement-Requests'!$B$3:$B$32,"&lt;"&amp;EDATE(A5,1),'Procurement-Requests'!$I$3:$I$32,"Fulfilled")</f>
        <v>2</v>
      </c>
      <c r="D5" s="6">
        <f>COUNTIFS('Procurement-Requests'!$B$3:$B$32,"&gt;="&amp;A5,'Procurement-Requests'!$B$3:$B$32,"&lt;"&amp;EDATE(A5,1),'Procurement-Requests'!$I$3:$I$32,"Pending")</f>
        <v>2</v>
      </c>
      <c r="E5" s="6">
        <f>COUNTIFS('Purchase-Orders'!$B$3:$B$30,"&gt;="&amp;A5,'Purchase-Orders'!$B$3:$B$30,"&lt;"&amp;EDATE(A5,1))</f>
        <v>4</v>
      </c>
      <c r="F5" s="7">
        <f>SUMIFS('Purchase-Orders'!$I$3:$I$30,'Purchase-Orders'!$B$3:$B$30,"&gt;="&amp;A5,'Purchase-Orders'!$B$3:$B$30,"&lt;"&amp;EDATE(A5,1))</f>
        <v>34175</v>
      </c>
      <c r="G5" s="7">
        <f>SUMIFS('Stock-Issuance'!$H$3:$H$47,'Stock-Issuance'!$B$3:$B$47,"&gt;="&amp;A5,'Stock-Issuance'!$B$3:$B$47,"&lt;"&amp;EDATE(A5,1))</f>
        <v>23740</v>
      </c>
      <c r="H5" s="7">
        <f t="shared" si="0"/>
        <v>8543.75</v>
      </c>
    </row>
    <row r="6" ht="15" customHeight="1" spans="1:8">
      <c r="A6" s="5">
        <v>46113</v>
      </c>
      <c r="B6" s="6">
        <f>COUNTIFS('Procurement-Requests'!$B$3:$B$32,"&gt;="&amp;A6,'Procurement-Requests'!$B$3:$B$32,"&lt;"&amp;EDATE(A6,1))</f>
        <v>5</v>
      </c>
      <c r="C6" s="6">
        <f>COUNTIFS('Procurement-Requests'!$B$3:$B$32,"&gt;="&amp;A6,'Procurement-Requests'!$B$3:$B$32,"&lt;"&amp;EDATE(A6,1),'Procurement-Requests'!$I$3:$I$32,"Approved")+COUNTIFS('Procurement-Requests'!$B$3:$B$32,"&gt;="&amp;A6,'Procurement-Requests'!$B$3:$B$32,"&lt;"&amp;EDATE(A6,1),'Procurement-Requests'!$I$3:$I$32,"Fulfilled")</f>
        <v>4</v>
      </c>
      <c r="D6" s="6">
        <f>COUNTIFS('Procurement-Requests'!$B$3:$B$32,"&gt;="&amp;A6,'Procurement-Requests'!$B$3:$B$32,"&lt;"&amp;EDATE(A6,1),'Procurement-Requests'!$I$3:$I$32,"Pending")</f>
        <v>1</v>
      </c>
      <c r="E6" s="6">
        <f>COUNTIFS('Purchase-Orders'!$B$3:$B$30,"&gt;="&amp;A6,'Purchase-Orders'!$B$3:$B$30,"&lt;"&amp;EDATE(A6,1))</f>
        <v>6</v>
      </c>
      <c r="F6" s="7">
        <f>SUMIFS('Purchase-Orders'!$I$3:$I$30,'Purchase-Orders'!$B$3:$B$30,"&gt;="&amp;A6,'Purchase-Orders'!$B$3:$B$30,"&lt;"&amp;EDATE(A6,1))</f>
        <v>181175</v>
      </c>
      <c r="G6" s="7">
        <f>SUMIFS('Stock-Issuance'!$H$3:$H$47,'Stock-Issuance'!$B$3:$B$47,"&gt;="&amp;A6,'Stock-Issuance'!$B$3:$B$47,"&lt;"&amp;EDATE(A6,1))</f>
        <v>13150</v>
      </c>
      <c r="H6" s="7">
        <f t="shared" si="0"/>
        <v>30195.8333333333</v>
      </c>
    </row>
    <row r="7" ht="15" customHeight="1" spans="1:8">
      <c r="A7" s="5">
        <v>46143</v>
      </c>
      <c r="B7" s="6">
        <f>COUNTIFS('Procurement-Requests'!$B$3:$B$32,"&gt;="&amp;A7,'Procurement-Requests'!$B$3:$B$32,"&lt;"&amp;EDATE(A7,1))</f>
        <v>5</v>
      </c>
      <c r="C7" s="6">
        <f>COUNTIFS('Procurement-Requests'!$B$3:$B$32,"&gt;="&amp;A7,'Procurement-Requests'!$B$3:$B$32,"&lt;"&amp;EDATE(A7,1),'Procurement-Requests'!$I$3:$I$32,"Approved")+COUNTIFS('Procurement-Requests'!$B$3:$B$32,"&gt;="&amp;A7,'Procurement-Requests'!$B$3:$B$32,"&lt;"&amp;EDATE(A7,1),'Procurement-Requests'!$I$3:$I$32,"Fulfilled")</f>
        <v>3</v>
      </c>
      <c r="D7" s="6">
        <f>COUNTIFS('Procurement-Requests'!$B$3:$B$32,"&gt;="&amp;A7,'Procurement-Requests'!$B$3:$B$32,"&lt;"&amp;EDATE(A7,1),'Procurement-Requests'!$I$3:$I$32,"Pending")</f>
        <v>2</v>
      </c>
      <c r="E7" s="6">
        <f>COUNTIFS('Purchase-Orders'!$B$3:$B$30,"&gt;="&amp;A7,'Purchase-Orders'!$B$3:$B$30,"&lt;"&amp;EDATE(A7,1))</f>
        <v>4</v>
      </c>
      <c r="F7" s="7">
        <f>SUMIFS('Purchase-Orders'!$I$3:$I$30,'Purchase-Orders'!$B$3:$B$30,"&gt;="&amp;A7,'Purchase-Orders'!$B$3:$B$30,"&lt;"&amp;EDATE(A7,1))</f>
        <v>6375</v>
      </c>
      <c r="G7" s="7">
        <f>SUMIFS('Stock-Issuance'!$H$3:$H$47,'Stock-Issuance'!$B$3:$B$47,"&gt;="&amp;A7,'Stock-Issuance'!$B$3:$B$47,"&lt;"&amp;EDATE(A7,1))</f>
        <v>22980</v>
      </c>
      <c r="H7" s="7">
        <f t="shared" si="0"/>
        <v>1593.75</v>
      </c>
    </row>
    <row r="8" ht="15" customHeight="1" spans="1:8">
      <c r="A8" s="5">
        <v>46174</v>
      </c>
      <c r="B8" s="6">
        <f>COUNTIFS('Procurement-Requests'!$B$3:$B$32,"&gt;="&amp;A8,'Procurement-Requests'!$B$3:$B$32,"&lt;"&amp;EDATE(A8,1))</f>
        <v>5</v>
      </c>
      <c r="C8" s="6">
        <f>COUNTIFS('Procurement-Requests'!$B$3:$B$32,"&gt;="&amp;A8,'Procurement-Requests'!$B$3:$B$32,"&lt;"&amp;EDATE(A8,1),'Procurement-Requests'!$I$3:$I$32,"Approved")+COUNTIFS('Procurement-Requests'!$B$3:$B$32,"&gt;="&amp;A8,'Procurement-Requests'!$B$3:$B$32,"&lt;"&amp;EDATE(A8,1),'Procurement-Requests'!$I$3:$I$32,"Fulfilled")</f>
        <v>4</v>
      </c>
      <c r="D8" s="6">
        <f>COUNTIFS('Procurement-Requests'!$B$3:$B$32,"&gt;="&amp;A8,'Procurement-Requests'!$B$3:$B$32,"&lt;"&amp;EDATE(A8,1),'Procurement-Requests'!$I$3:$I$32,"Pending")</f>
        <v>1</v>
      </c>
      <c r="E8" s="6">
        <f>COUNTIFS('Purchase-Orders'!$B$3:$B$30,"&gt;="&amp;A8,'Purchase-Orders'!$B$3:$B$30,"&lt;"&amp;EDATE(A8,1))</f>
        <v>5</v>
      </c>
      <c r="F8" s="7">
        <f>SUMIFS('Purchase-Orders'!$I$3:$I$30,'Purchase-Orders'!$B$3:$B$30,"&gt;="&amp;A8,'Purchase-Orders'!$B$3:$B$30,"&lt;"&amp;EDATE(A8,1))</f>
        <v>5950</v>
      </c>
      <c r="G8" s="7">
        <f>SUMIFS('Stock-Issuance'!$H$3:$H$47,'Stock-Issuance'!$B$3:$B$47,"&gt;="&amp;A8,'Stock-Issuance'!$B$3:$B$47,"&lt;"&amp;EDATE(A8,1))</f>
        <v>7965</v>
      </c>
      <c r="H8" s="7">
        <f t="shared" si="0"/>
        <v>1190</v>
      </c>
    </row>
    <row r="9" ht="15" customHeight="1" spans="1:8">
      <c r="A9" s="8" t="s">
        <v>365</v>
      </c>
      <c r="B9" s="9">
        <f t="shared" ref="B9:G9" si="1">SUM(B3:B8)</f>
        <v>30</v>
      </c>
      <c r="C9" s="9">
        <f t="shared" si="1"/>
        <v>20</v>
      </c>
      <c r="D9" s="9">
        <f t="shared" si="1"/>
        <v>8</v>
      </c>
      <c r="E9" s="9">
        <f t="shared" si="1"/>
        <v>28</v>
      </c>
      <c r="F9" s="10">
        <f t="shared" si="1"/>
        <v>250365</v>
      </c>
      <c r="G9" s="10">
        <f t="shared" si="1"/>
        <v>88214</v>
      </c>
      <c r="H9" s="10">
        <f t="shared" si="0"/>
        <v>8941.60714285714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8080"/>
  </sheetPr>
  <dimension ref="A1:H16"/>
  <sheetViews>
    <sheetView showGridLines="0" workbookViewId="0">
      <selection activeCell="C19" sqref="C19"/>
    </sheetView>
  </sheetViews>
  <sheetFormatPr defaultColWidth="8.67592592592593" defaultRowHeight="14.4" outlineLevelCol="7"/>
  <cols>
    <col min="1" max="8" width="18" customWidth="1"/>
  </cols>
  <sheetData>
    <row r="1" ht="31.5" customHeight="1" spans="1:8">
      <c r="A1" s="1" t="s">
        <v>366</v>
      </c>
    </row>
    <row r="2" ht="6" customHeight="1"/>
    <row r="3" ht="24" customHeight="1" spans="1:8">
      <c r="A3" s="2" t="s">
        <v>367</v>
      </c>
      <c r="B3" s="2" t="s">
        <v>368</v>
      </c>
      <c r="C3" s="2" t="s">
        <v>369</v>
      </c>
      <c r="D3" s="2" t="s">
        <v>370</v>
      </c>
      <c r="E3" s="2" t="s">
        <v>23</v>
      </c>
      <c r="F3" s="2" t="s">
        <v>251</v>
      </c>
      <c r="G3" s="2" t="s">
        <v>371</v>
      </c>
      <c r="H3" s="2" t="s">
        <v>372</v>
      </c>
    </row>
    <row r="4" ht="15" customHeight="1" spans="1:8">
      <c r="A4" s="3" t="s">
        <v>2</v>
      </c>
      <c r="B4" s="3" t="s">
        <v>59</v>
      </c>
      <c r="C4" s="3" t="s">
        <v>21</v>
      </c>
      <c r="D4" s="3" t="s">
        <v>26</v>
      </c>
      <c r="E4" s="3" t="s">
        <v>26</v>
      </c>
      <c r="F4" s="3" t="s">
        <v>257</v>
      </c>
      <c r="G4" s="3" t="s">
        <v>206</v>
      </c>
      <c r="H4" s="3" t="s">
        <v>373</v>
      </c>
    </row>
    <row r="5" ht="15" customHeight="1" spans="1:8">
      <c r="A5" s="3" t="s">
        <v>9</v>
      </c>
      <c r="B5" s="3" t="s">
        <v>63</v>
      </c>
      <c r="C5" s="3" t="s">
        <v>19</v>
      </c>
      <c r="D5" s="3" t="s">
        <v>289</v>
      </c>
      <c r="E5" s="3" t="s">
        <v>28</v>
      </c>
      <c r="F5" s="3" t="s">
        <v>283</v>
      </c>
      <c r="G5" s="3" t="s">
        <v>236</v>
      </c>
      <c r="H5" s="3" t="s">
        <v>374</v>
      </c>
    </row>
    <row r="6" ht="15" customHeight="1" spans="1:8">
      <c r="A6" s="3" t="s">
        <v>10</v>
      </c>
      <c r="B6" s="3" t="s">
        <v>67</v>
      </c>
      <c r="C6" s="3" t="s">
        <v>27</v>
      </c>
      <c r="D6" s="3" t="s">
        <v>265</v>
      </c>
      <c r="E6" s="3" t="s">
        <v>30</v>
      </c>
      <c r="F6" s="3" t="s">
        <v>263</v>
      </c>
      <c r="H6" s="3" t="s">
        <v>375</v>
      </c>
    </row>
    <row r="7" ht="15" customHeight="1" spans="1:8">
      <c r="A7" s="3" t="s">
        <v>11</v>
      </c>
      <c r="B7" s="3" t="s">
        <v>84</v>
      </c>
      <c r="C7" s="3" t="s">
        <v>25</v>
      </c>
      <c r="D7" s="3" t="s">
        <v>269</v>
      </c>
      <c r="E7" s="3" t="s">
        <v>32</v>
      </c>
      <c r="F7" s="3" t="s">
        <v>376</v>
      </c>
      <c r="H7" s="3" t="s">
        <v>377</v>
      </c>
    </row>
    <row r="8" ht="15" customHeight="1" spans="1:8">
      <c r="A8" s="3" t="s">
        <v>12</v>
      </c>
      <c r="B8" s="3" t="s">
        <v>126</v>
      </c>
      <c r="C8" s="3" t="s">
        <v>22</v>
      </c>
      <c r="E8" s="3" t="s">
        <v>34</v>
      </c>
    </row>
    <row r="9" ht="15" customHeight="1" spans="1:8">
      <c r="A9" s="3" t="s">
        <v>13</v>
      </c>
      <c r="C9" s="3" t="s">
        <v>29</v>
      </c>
    </row>
    <row r="10" ht="15" customHeight="1" spans="1:8">
      <c r="A10" s="3" t="s">
        <v>18</v>
      </c>
      <c r="C10" s="3" t="s">
        <v>33</v>
      </c>
    </row>
    <row r="11" ht="15" customHeight="1" spans="1:8">
      <c r="A11" s="3" t="s">
        <v>20</v>
      </c>
      <c r="C11" s="3" t="s">
        <v>31</v>
      </c>
    </row>
    <row r="15" ht="15" customHeight="1" spans="1:8">
      <c r="A15" s="4"/>
      <c r="B15" s="4"/>
      <c r="C15" s="4"/>
      <c r="D15" s="4"/>
      <c r="E15" s="4"/>
      <c r="F15" s="4"/>
      <c r="G15" s="4"/>
      <c r="H15" s="4"/>
    </row>
    <row r="16" ht="15" customHeight="1" spans="1:8">
      <c r="A16" s="4"/>
      <c r="B16" s="4"/>
      <c r="C16" s="4"/>
      <c r="D16" s="4"/>
      <c r="E16" s="4"/>
      <c r="F16" s="4"/>
      <c r="G16" s="4"/>
      <c r="H16" s="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Inventory-Master</vt:lpstr>
      <vt:lpstr>Stock-Issuance</vt:lpstr>
      <vt:lpstr>Suppliers</vt:lpstr>
      <vt:lpstr>Procurement-Requests</vt:lpstr>
      <vt:lpstr>Purchase-Orders</vt:lpstr>
      <vt:lpstr>Budget-Tracker</vt:lpstr>
      <vt:lpstr>Monthly-Report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Rester</cp:lastModifiedBy>
  <cp:revision>3</cp:revision>
  <dcterms:created xsi:type="dcterms:W3CDTF">2026-07-04T03:33:00Z</dcterms:created>
  <dcterms:modified xsi:type="dcterms:W3CDTF">2026-07-04T09:23:31Z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C4BC7520A6AA4FC48569CEEF0472A3B0_12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