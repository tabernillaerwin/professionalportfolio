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shboard" sheetId="5" r:id="rId1"/>
    <sheet name="Document-Registry" sheetId="2" r:id="rId2"/>
    <sheet name="Monthly-Report" sheetId="3" r:id="rId3"/>
    <sheet name="Lists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<sst xmlns="http://schemas.openxmlformats.org/spreadsheetml/2006/main" count="247" uniqueCount="136">
  <si>
    <t>Total</t>
  </si>
  <si>
    <t>Completed</t>
  </si>
  <si>
    <t>Pending/In Progress</t>
  </si>
  <si>
    <t>Cancelled</t>
  </si>
  <si>
    <t>Overdue</t>
  </si>
  <si>
    <t xml:space="preserve">         Docs Chart</t>
  </si>
  <si>
    <t xml:space="preserve">    Pivot Chart</t>
  </si>
  <si>
    <t>Status</t>
  </si>
  <si>
    <t>Count</t>
  </si>
  <si>
    <t>Pending</t>
  </si>
  <si>
    <t>In Progress</t>
  </si>
  <si>
    <t>Recent Documents</t>
  </si>
  <si>
    <t>Doc No.</t>
  </si>
  <si>
    <t>Subject</t>
  </si>
  <si>
    <t>Doc. No</t>
  </si>
  <si>
    <t>Date Received</t>
  </si>
  <si>
    <t>Department</t>
  </si>
  <si>
    <t>Assigned to</t>
  </si>
  <si>
    <t>Due Date</t>
  </si>
  <si>
    <t>Days Remaining</t>
  </si>
  <si>
    <t>Remarks</t>
  </si>
  <si>
    <t>DOC-001</t>
  </si>
  <si>
    <t>Budget Proposal</t>
  </si>
  <si>
    <t>Finance</t>
  </si>
  <si>
    <t>Maria Santos</t>
  </si>
  <si>
    <t>OVERDUE - Documentation Lacking</t>
  </si>
  <si>
    <t>DOC-002</t>
  </si>
  <si>
    <t>Procurement Request</t>
  </si>
  <si>
    <t>Administration</t>
  </si>
  <si>
    <t>Juan Cruz</t>
  </si>
  <si>
    <t>OVERDUE - Awaiting Approval</t>
  </si>
  <si>
    <t>DOC-003</t>
  </si>
  <si>
    <t>Contract Renewal</t>
  </si>
  <si>
    <t>John Dela Cruz</t>
  </si>
  <si>
    <t>OVERDUE - Incomplete Requirements</t>
  </si>
  <si>
    <t>DOC-004</t>
  </si>
  <si>
    <t>Training Request</t>
  </si>
  <si>
    <t>Operations</t>
  </si>
  <si>
    <t>Angela Ramos</t>
  </si>
  <si>
    <t>DOC-005</t>
  </si>
  <si>
    <t>Purchase Request</t>
  </si>
  <si>
    <t>Carla Mendoza</t>
  </si>
  <si>
    <t>DOC-006</t>
  </si>
  <si>
    <t>Payroll Inquiry</t>
  </si>
  <si>
    <t>Nicole Santos</t>
  </si>
  <si>
    <t>Released</t>
  </si>
  <si>
    <t>DOC-007</t>
  </si>
  <si>
    <t>Travel Order</t>
  </si>
  <si>
    <t>Mark Villanueva</t>
  </si>
  <si>
    <t>DOC-008</t>
  </si>
  <si>
    <t>Equipment Repair Request</t>
  </si>
  <si>
    <t>Melissa Cruz</t>
  </si>
  <si>
    <t>OVERDUE - Awaiting Parts</t>
  </si>
  <si>
    <t>DOC-009</t>
  </si>
  <si>
    <t>Office Supply Request</t>
  </si>
  <si>
    <t>Daniel Torres</t>
  </si>
  <si>
    <t>DOC-010</t>
  </si>
  <si>
    <t>Cash Advance Request</t>
  </si>
  <si>
    <t>Patrick Lim</t>
  </si>
  <si>
    <t>DOC-011</t>
  </si>
  <si>
    <t>Leave Application</t>
  </si>
  <si>
    <t>HR</t>
  </si>
  <si>
    <t>Approved</t>
  </si>
  <si>
    <t>DOC-012</t>
  </si>
  <si>
    <t>Budget Request</t>
  </si>
  <si>
    <t>Awaiting Review</t>
  </si>
  <si>
    <t>DOC-013</t>
  </si>
  <si>
    <t>Ana Reyes</t>
  </si>
  <si>
    <t>For Signature</t>
  </si>
  <si>
    <t>DOC-014</t>
  </si>
  <si>
    <t>DOC-015</t>
  </si>
  <si>
    <t>Memorandum Distribution</t>
  </si>
  <si>
    <t>DOC-016</t>
  </si>
  <si>
    <t>DOC-017</t>
  </si>
  <si>
    <t>Overtime Request</t>
  </si>
  <si>
    <t>DOC-018</t>
  </si>
  <si>
    <t>Vehicle Request</t>
  </si>
  <si>
    <t>DOC-019</t>
  </si>
  <si>
    <t>DOC-020</t>
  </si>
  <si>
    <t>Sophia Reyes</t>
  </si>
  <si>
    <t>DOC-021</t>
  </si>
  <si>
    <t>Attendance Adjustment</t>
  </si>
  <si>
    <t>Kenneth Garcia</t>
  </si>
  <si>
    <t>Updated</t>
  </si>
  <si>
    <t>DOC-022</t>
  </si>
  <si>
    <t>Internet Service Request</t>
  </si>
  <si>
    <t>Jason Mendoza</t>
  </si>
  <si>
    <t>DOC-023</t>
  </si>
  <si>
    <t>Alyssa Cruz</t>
  </si>
  <si>
    <t>Awaiting Approval</t>
  </si>
  <si>
    <t>DOC-024</t>
  </si>
  <si>
    <t>Travel Reimbursement</t>
  </si>
  <si>
    <t>Michael Reyes</t>
  </si>
  <si>
    <t>DOC-025</t>
  </si>
  <si>
    <t>Meeting Room Reservation</t>
  </si>
  <si>
    <t>Christine Ramos</t>
  </si>
  <si>
    <t>DOC-026</t>
  </si>
  <si>
    <t>Robert Lim</t>
  </si>
  <si>
    <t>DOC-027</t>
  </si>
  <si>
    <t>Vanessa Garcia</t>
  </si>
  <si>
    <t>DOC-028</t>
  </si>
  <si>
    <t>Brian Santos</t>
  </si>
  <si>
    <t>DOC-029</t>
  </si>
  <si>
    <t>Suguru Geto</t>
  </si>
  <si>
    <t>DOC-030</t>
  </si>
  <si>
    <t>Accounting</t>
  </si>
  <si>
    <t>Satoru Gojo</t>
  </si>
  <si>
    <t>Withdrawn</t>
  </si>
  <si>
    <t>Count of Doc. No</t>
  </si>
  <si>
    <t>Apr</t>
  </si>
  <si>
    <t>May</t>
  </si>
  <si>
    <t>Jun</t>
  </si>
  <si>
    <t>Grand Total</t>
  </si>
  <si>
    <t>Column A</t>
  </si>
  <si>
    <t>Column B</t>
  </si>
  <si>
    <t>Pending Documents:</t>
  </si>
  <si>
    <t>Awaiting approval</t>
  </si>
  <si>
    <t>Being processed</t>
  </si>
  <si>
    <t>Approved and filed</t>
  </si>
  <si>
    <t>Request withdrawn</t>
  </si>
  <si>
    <t>For review by supervisor</t>
  </si>
  <si>
    <t>For signature</t>
  </si>
  <si>
    <t>Released to requester</t>
  </si>
  <si>
    <t>Duplicate submission</t>
  </si>
  <si>
    <t>Pending supporting documents</t>
  </si>
  <si>
    <t>Under review by management</t>
  </si>
  <si>
    <t>Processed successfully</t>
  </si>
  <si>
    <t>Cancelled by requesting office</t>
  </si>
  <si>
    <t>Under evaluation</t>
  </si>
  <si>
    <t>Coordinating with requesting office</t>
  </si>
  <si>
    <t>Document archived</t>
  </si>
  <si>
    <t>No longer required</t>
  </si>
  <si>
    <t>Marketing</t>
  </si>
  <si>
    <t>For verification</t>
  </si>
  <si>
    <t>Routing for approval</t>
  </si>
  <si>
    <t>Completed on schedule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</si>
</sst>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/d/yyyy;@"/>
  </numFmts>
  <fonts count="26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theme="4"/>
      </left>
      <right/>
      <top style="thin">
        <color theme="4" tint="0.399975585192419"/>
      </top>
      <bottom/>
      <diagonal/>
    </border>
    <border>
      <left/>
      <right/>
      <top style="thin">
        <color theme="4" tint="0.399975585192419"/>
      </top>
      <bottom/>
      <diagonal/>
    </border>
    <border>
      <left/>
      <right style="thin">
        <color theme="4"/>
      </right>
      <top style="thin">
        <color theme="4" tint="0.399975585192419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6" borderId="20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7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>
      <alignment vertical="center"/>
    </xf>
    <xf numFmtId="0" fontId="1" fillId="2" borderId="1" xfId="0" applyNumberFormat="1" applyFont="1" applyFill="1" applyBorder="1" applyAlignment="1" applyProtection="1">
      <alignment vertical="center"/>
    </xf>
    <xf numFmtId="176" fontId="1" fillId="2" borderId="2" xfId="0" applyNumberFormat="1" applyFont="1" applyFill="1" applyBorder="1" applyAlignment="1" applyProtection="1">
      <alignment vertical="center"/>
    </xf>
    <xf numFmtId="0" fontId="1" fillId="2" borderId="2" xfId="0" applyNumberFormat="1" applyFont="1" applyFill="1" applyBorder="1" applyAlignment="1" applyProtection="1">
      <alignment vertical="center"/>
    </xf>
    <xf numFmtId="0" fontId="1" fillId="2" borderId="3" xfId="0" applyNumberFormat="1" applyFont="1" applyFill="1" applyBorder="1" applyAlignment="1" applyProtection="1">
      <alignment vertical="center"/>
    </xf>
    <xf numFmtId="0" fontId="0" fillId="0" borderId="4" xfId="0" applyNumberFormat="1" applyFont="1" applyFill="1" applyBorder="1" applyAlignment="1" applyProtection="1">
      <alignment vertical="center"/>
    </xf>
    <xf numFmtId="176" fontId="0" fillId="0" borderId="5" xfId="0" applyNumberFormat="1" applyFont="1" applyFill="1" applyBorder="1" applyAlignment="1" applyProtection="1">
      <alignment vertical="center"/>
    </xf>
    <xf numFmtId="0" fontId="0" fillId="0" borderId="5" xfId="0" applyNumberFormat="1" applyFont="1" applyFill="1" applyBorder="1" applyAlignment="1" applyProtection="1">
      <alignment vertical="center"/>
    </xf>
    <xf numFmtId="0" fontId="0" fillId="0" borderId="6" xfId="0" applyNumberFormat="1" applyFont="1" applyFill="1" applyBorder="1" applyAlignment="1" applyProtection="1">
      <alignment vertical="center"/>
    </xf>
    <xf numFmtId="0" fontId="0" fillId="3" borderId="4" xfId="0" applyNumberFormat="1" applyFont="1" applyFill="1" applyBorder="1" applyAlignment="1" applyProtection="1">
      <alignment vertical="center"/>
    </xf>
    <xf numFmtId="176" fontId="0" fillId="3" borderId="5" xfId="0" applyNumberFormat="1" applyFont="1" applyFill="1" applyBorder="1" applyAlignment="1" applyProtection="1">
      <alignment vertical="center"/>
    </xf>
    <xf numFmtId="0" fontId="0" fillId="3" borderId="5" xfId="0" applyNumberFormat="1" applyFont="1" applyFill="1" applyBorder="1" applyAlignment="1" applyProtection="1">
      <alignment vertical="center"/>
    </xf>
    <xf numFmtId="0" fontId="0" fillId="3" borderId="6" xfId="0" applyNumberFormat="1" applyFont="1" applyFill="1" applyBorder="1" applyAlignment="1" applyProtection="1">
      <alignment vertical="center"/>
    </xf>
    <xf numFmtId="0" fontId="0" fillId="0" borderId="7" xfId="0" applyNumberFormat="1" applyFont="1" applyFill="1" applyBorder="1" applyAlignment="1" applyProtection="1">
      <alignment vertical="center"/>
    </xf>
    <xf numFmtId="176" fontId="0" fillId="0" borderId="8" xfId="0" applyNumberFormat="1" applyFont="1" applyFill="1" applyBorder="1" applyAlignment="1" applyProtection="1">
      <alignment vertical="center"/>
    </xf>
    <xf numFmtId="0" fontId="0" fillId="0" borderId="8" xfId="0" applyNumberFormat="1" applyFont="1" applyFill="1" applyBorder="1" applyAlignment="1" applyProtection="1">
      <alignment vertical="center"/>
    </xf>
    <xf numFmtId="0" fontId="0" fillId="0" borderId="9" xfId="0" applyNumberFormat="1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2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2" fillId="2" borderId="3" xfId="0" applyNumberFormat="1" applyFont="1" applyFill="1" applyBorder="1" applyAlignment="1" applyProtection="1">
      <alignment horizontal="center" vertical="center"/>
    </xf>
    <xf numFmtId="0" fontId="4" fillId="3" borderId="10" xfId="0" applyNumberFormat="1" applyFont="1" applyFill="1" applyBorder="1" applyAlignment="1" applyProtection="1">
      <alignment horizontal="center" vertical="center"/>
    </xf>
    <xf numFmtId="0" fontId="4" fillId="3" borderId="11" xfId="0" applyNumberFormat="1" applyFont="1" applyFill="1" applyBorder="1" applyAlignment="1" applyProtection="1">
      <alignment horizontal="center" vertical="center"/>
    </xf>
    <xf numFmtId="0" fontId="4" fillId="3" borderId="12" xfId="0" applyNumberFormat="1" applyFont="1" applyFill="1" applyBorder="1" applyAlignment="1" applyProtection="1">
      <alignment horizontal="center" vertical="center"/>
    </xf>
    <xf numFmtId="0" fontId="4" fillId="3" borderId="13" xfId="0" applyNumberFormat="1" applyFont="1" applyFill="1" applyBorder="1" applyAlignment="1" applyProtection="1">
      <alignment horizontal="center" vertical="center"/>
    </xf>
    <xf numFmtId="0" fontId="4" fillId="3" borderId="14" xfId="0" applyNumberFormat="1" applyFont="1" applyFill="1" applyBorder="1" applyAlignment="1" applyProtection="1">
      <alignment horizontal="center" vertical="center"/>
    </xf>
    <xf numFmtId="0" fontId="4" fillId="3" borderId="15" xfId="0" applyNumberFormat="1" applyFont="1" applyFill="1" applyBorder="1" applyAlignment="1" applyProtection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b val="1"/>
        <i val="0"/>
      </font>
      <fill>
        <patternFill patternType="solid">
          <bgColor theme="7" tint="0.4"/>
        </patternFill>
      </fill>
    </dxf>
    <dxf>
      <fill>
        <patternFill patternType="solid">
          <bgColor theme="6" tint="0.6"/>
        </patternFill>
      </fill>
    </dxf>
    <dxf>
      <font>
        <color theme="1"/>
      </font>
      <fill>
        <patternFill patternType="solid">
          <bgColor rgb="FF4686C8"/>
        </patternFill>
      </fill>
    </dxf>
    <dxf>
      <font>
        <b val="1"/>
        <i val="0"/>
      </font>
      <fill>
        <patternFill patternType="solid">
          <bgColor rgb="FFFF7777"/>
        </patternFill>
      </fill>
    </dxf>
    <dxf>
      <font>
        <b val="1"/>
        <i val="0"/>
      </font>
      <fill>
        <patternFill patternType="solid">
          <bgColor rgb="FFFF5959"/>
        </patternFill>
      </fill>
    </dxf>
    <dxf>
      <font>
        <b val="1"/>
        <i val="0"/>
      </font>
      <fill>
        <patternFill patternType="solid">
          <bgColor rgb="FFFF595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mruColors>
      <color rgb="004686C8"/>
      <color rgb="00FF5555"/>
      <color rgb="00FF7777"/>
      <color rgb="00FF595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Documents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Dashboard!$C$7</c:f>
              <c:strCache>
                <c:ptCount val="1"/>
                <c:pt idx="0">
                  <c:v>Count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Dashboard!$B$8:$B$11</c:f>
              <c:strCache>
                <c:ptCount val="4"/>
                <c:pt idx="0">
                  <c:v>Completed</c:v>
                </c:pt>
                <c:pt idx="1">
                  <c:v>Pending</c:v>
                </c:pt>
                <c:pt idx="2">
                  <c:v>In Progress</c:v>
                </c:pt>
                <c:pt idx="3">
                  <c:v>Cancelled</c:v>
                </c:pt>
              </c:strCache>
            </c:strRef>
          </c:cat>
          <c:val>
            <c:numRef>
              <c:f>Dashboard!$C$8:$C$11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10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a77816-4f3f-4a04-b262-2f85b427c0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Office Records Management &amp; Document Tracking System.xlsx]Monthly-Report!PivotTable3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altLang="en-US"/>
              <a:t>Total Documents for 2nd Quarter Year 2026</a:t>
            </a:r>
            <a:endParaRPr lang="en-PH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73157894736842"/>
          <c:y val="0.260416666666667"/>
          <c:w val="0.809"/>
          <c:h val="0.534120370370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'Monthly-Report'!$B$1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'Monthly-Report'!$A$2:$A$5</c:f>
              <c:strCache>
                <c:ptCount val="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f>'Monthly-Report'!$B$2:$B$5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12466700"/>
        <c:axId val="320686549"/>
      </c:barChart>
      <c:catAx>
        <c:axId val="3124667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686549"/>
        <c:crosses val="autoZero"/>
        <c:auto val="1"/>
        <c:lblAlgn val="ctr"/>
        <c:lblOffset val="100"/>
        <c:noMultiLvlLbl val="0"/>
      </c:catAx>
      <c:valAx>
        <c:axId val="3206865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24667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ffea2c-f867-45c2-932f-2d085394a5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Office Records Management &amp; Document Tracking System.xlsx]Monthly-Report!PivotTable3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altLang="en-US"/>
              <a:t>Total Documents for 2nd Quarter Year 2026</a:t>
            </a:r>
            <a:endParaRPr lang="en-PH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73157894736842"/>
          <c:y val="0.260416666666667"/>
          <c:w val="0.809"/>
          <c:h val="0.534120370370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'Monthly-Report'!$B$1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'Monthly-Report'!$A$2:$A$5</c:f>
              <c:strCache>
                <c:ptCount val="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f>'Monthly-Report'!$B$2:$B$5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12466700"/>
        <c:axId val="320686549"/>
      </c:barChart>
      <c:catAx>
        <c:axId val="3124667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686549"/>
        <c:crosses val="autoZero"/>
        <c:auto val="1"/>
        <c:lblAlgn val="ctr"/>
        <c:lblOffset val="100"/>
        <c:noMultiLvlLbl val="0"/>
      </c:catAx>
      <c:valAx>
        <c:axId val="3206865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24667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48babc-92bd-4ba8-80d5-d631ea3291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605155</xdr:colOff>
      <xdr:row>6</xdr:row>
      <xdr:rowOff>26670</xdr:rowOff>
    </xdr:from>
    <xdr:to>
      <xdr:col>7</xdr:col>
      <xdr:colOff>602615</xdr:colOff>
      <xdr:row>20</xdr:row>
      <xdr:rowOff>161925</xdr:rowOff>
    </xdr:to>
    <xdr:graphicFrame>
      <xdr:nvGraphicFramePr>
        <xdr:cNvPr id="4" name="Chart 3"/>
        <xdr:cNvGraphicFramePr/>
      </xdr:nvGraphicFramePr>
      <xdr:xfrm>
        <a:off x="2563495" y="1619250"/>
        <a:ext cx="3977005" cy="2878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801370</xdr:colOff>
      <xdr:row>6</xdr:row>
      <xdr:rowOff>34925</xdr:rowOff>
    </xdr:from>
    <xdr:to>
      <xdr:col>14</xdr:col>
      <xdr:colOff>354965</xdr:colOff>
      <xdr:row>20</xdr:row>
      <xdr:rowOff>177165</xdr:rowOff>
    </xdr:to>
    <xdr:graphicFrame>
      <xdr:nvGraphicFramePr>
        <xdr:cNvPr id="5" name="Chart 4"/>
        <xdr:cNvGraphicFramePr/>
      </xdr:nvGraphicFramePr>
      <xdr:xfrm>
        <a:off x="6739255" y="1627505"/>
        <a:ext cx="4619625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68580</xdr:colOff>
      <xdr:row>0</xdr:row>
      <xdr:rowOff>5080</xdr:rowOff>
    </xdr:from>
    <xdr:to>
      <xdr:col>12</xdr:col>
      <xdr:colOff>17780</xdr:colOff>
      <xdr:row>15</xdr:row>
      <xdr:rowOff>5080</xdr:rowOff>
    </xdr:to>
    <xdr:graphicFrame>
      <xdr:nvGraphicFramePr>
        <xdr:cNvPr id="2" name="Chart 1"/>
        <xdr:cNvGraphicFramePr/>
      </xdr:nvGraphicFramePr>
      <xdr:xfrm>
        <a:off x="3543300" y="50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2.9341435185" refreshedBy="Rester" recordCount="30">
  <cacheSource type="worksheet">
    <worksheetSource ref="A1:I31" sheet="Document-Registry"/>
  </cacheSource>
  <cacheFields count="9">
    <cacheField name="Doc. No" numFmtId="0">
      <sharedItems count="30">
        <s v="DOC-001"/>
        <s v="DOC-002"/>
        <s v="DOC-003"/>
        <s v="DOC-004"/>
        <s v="DOC-005"/>
        <s v="DOC-006"/>
        <s v="DOC-007"/>
        <s v="DOC-008"/>
        <s v="DOC-009"/>
        <s v="DOC-010"/>
        <s v="DOC-011"/>
        <s v="DOC-012"/>
        <s v="DOC-013"/>
        <s v="DOC-014"/>
        <s v="DOC-015"/>
        <s v="DOC-016"/>
        <s v="DOC-017"/>
        <s v="DOC-018"/>
        <s v="DOC-019"/>
        <s v="DOC-020"/>
        <s v="DOC-021"/>
        <s v="DOC-022"/>
        <s v="DOC-023"/>
        <s v="DOC-024"/>
        <s v="DOC-025"/>
        <s v="DOC-026"/>
        <s v="DOC-027"/>
        <s v="DOC-028"/>
        <s v="DOC-029"/>
        <s v="DOC-030"/>
      </sharedItems>
    </cacheField>
    <cacheField name="Date Received" numFmtId="0">
      <sharedItems containsSemiMixedTypes="0" containsString="0" containsNonDate="0" containsDate="1" minDate="2026-04-06T00:00:00" maxDate="2026-06-23T00:00:00" count="29">
        <d v="2026-04-06T00:00:00"/>
        <d v="2026-04-15T00:00:00"/>
        <d v="2026-04-28T00:00:00"/>
        <d v="2026-04-29T00:00:00"/>
        <d v="2026-05-10T00:00:00"/>
        <d v="2026-05-12T00:00:00"/>
        <d v="2026-05-17T00:00:00"/>
        <d v="2026-05-23T00:00:00"/>
        <d v="2026-05-25T00:00:00"/>
        <d v="2026-05-26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10T00:00:00"/>
        <d v="2026-06-11T00:00:00"/>
        <d v="2026-06-12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2T00:00:00"/>
        <d v="2026-06-23T00:00:00"/>
      </sharedItems>
      <fieldGroup base="1">
        <rangePr groupBy="months" startDate="2026-04-06T00:00:00" endDate="2026-06-23T00:00:00" groupInterval="1"/>
        <groupItems count="14">
          <s v="&lt;06/04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/06/2026"/>
        </groupItems>
      </fieldGroup>
    </cacheField>
    <cacheField name="Subject" numFmtId="0">
      <sharedItems count="19">
        <s v="Budget Proposal"/>
        <s v="Procurement Request"/>
        <s v="Contract Renewal"/>
        <s v="Training Request"/>
        <s v="Purchase Request"/>
        <s v="Payroll Inquiry"/>
        <s v="Travel Order"/>
        <s v="Equipment Repair Request"/>
        <s v="Office Supply Request"/>
        <s v="Cash Advance Request"/>
        <s v="Leave Application"/>
        <s v="Budget Request"/>
        <s v="Memorandum Distribution"/>
        <s v="Overtime Request"/>
        <s v="Vehicle Request"/>
        <s v="Attendance Adjustment"/>
        <s v="Internet Service Request"/>
        <s v="Travel Reimbursement"/>
        <s v="Meeting Room Reservation"/>
      </sharedItems>
    </cacheField>
    <cacheField name="Department" numFmtId="0">
      <sharedItems count="5">
        <s v="Finance"/>
        <s v="Administration"/>
        <s v="Operations"/>
        <s v="HR"/>
        <s v="Accounting"/>
      </sharedItems>
    </cacheField>
    <cacheField name="Assigned to" numFmtId="0">
      <sharedItems count="22">
        <s v="Maria Santos"/>
        <s v="Juan Cruz"/>
        <s v="John Dela Cruz"/>
        <s v="Angela Ramos"/>
        <s v="Carla Mendoza"/>
        <s v="Nicole Santos"/>
        <s v="Mark Villanueva"/>
        <s v="Melissa Cruz"/>
        <s v="Daniel Torres"/>
        <s v="Patrick Lim"/>
        <s v="Ana Reyes"/>
        <s v="Sophia Reyes"/>
        <s v="Kenneth Garcia"/>
        <s v="Jason Mendoza"/>
        <s v="Alyssa Cruz"/>
        <s v="Michael Reyes"/>
        <s v="Christine Ramos"/>
        <s v="Robert Lim"/>
        <s v="Vanessa Garcia"/>
        <s v="Brian Santos"/>
        <s v="Suguru Geto"/>
        <s v="Satoru Gojo"/>
      </sharedItems>
    </cacheField>
    <cacheField name="Status" numFmtId="0">
      <sharedItems count="4">
        <s v="Pending"/>
        <s v="In Progress"/>
        <s v="Completed"/>
        <s v="Cancelled"/>
      </sharedItems>
    </cacheField>
    <cacheField name="Due Date" numFmtId="176">
      <sharedItems containsSemiMixedTypes="0" containsString="0" containsNonDate="0" containsDate="1" minDate="2026-06-05T00:00:00" maxDate="2026-07-28T00:00:00" count="24">
        <d v="2026-06-05T00:00:00"/>
        <d v="2026-06-12T00:00:00"/>
        <d v="2026-06-22T00:00:00"/>
        <d v="2026-06-25T00:00:00"/>
        <d v="2026-06-18T00:00:00"/>
        <d v="2026-06-30T00:00:00"/>
        <d v="2026-06-20T00:00:00"/>
        <d v="2026-06-27T00:00:00"/>
        <d v="2026-06-28T00:00:00"/>
        <d v="2026-07-10T00:00:00"/>
        <d v="2026-07-11T00:00:00"/>
        <d v="2026-07-12T00:00:00"/>
        <d v="2026-07-06T00:00:00"/>
        <d v="2026-07-15T00:00:00"/>
        <d v="2026-07-14T00:00:00"/>
        <d v="2026-07-07T00:00:00"/>
        <d v="2026-07-13T00:00:00"/>
        <d v="2026-07-20T00:00:00"/>
        <d v="2026-07-21T00:00:00"/>
        <d v="2026-07-22T00:00:00"/>
        <d v="2026-07-19T00:00:00"/>
        <d v="2026-07-18T00:00:00"/>
        <d v="2026-07-25T00:00:00"/>
        <d v="2026-07-28T00:00:00"/>
      </sharedItems>
    </cacheField>
    <cacheField name="Days Remaining" numFmtId="0">
      <sharedItems containsSemiMixedTypes="0" containsString="0" containsNumber="1" containsInteger="1" minValue="-24" maxValue="29" count="24">
        <n v="-24"/>
        <n v="-17"/>
        <n v="-7"/>
        <n v="-4"/>
        <n v="-11"/>
        <n v="1"/>
        <n v="-9"/>
        <n v="-2"/>
        <n v="-1"/>
        <n v="11"/>
        <n v="12"/>
        <n v="13"/>
        <n v="7"/>
        <n v="16"/>
        <n v="15"/>
        <n v="8"/>
        <n v="14"/>
        <n v="21"/>
        <n v="22"/>
        <n v="23"/>
        <n v="20"/>
        <n v="19"/>
        <n v="26"/>
        <n v="29"/>
      </sharedItems>
    </cacheField>
    <cacheField name="Remarks" numFmtId="0">
      <sharedItems count="12">
        <s v="OVERDUE - Documentation Lacking"/>
        <s v="Awaiting Review"/>
        <s v="OVERDUE - Incomplete Requirements"/>
        <s v="OVERDUE - Awaiting Approval"/>
        <s v="Released"/>
        <s v="OVERDUE - Awaiting Parts"/>
        <s v="Approved"/>
        <s v="For Signature"/>
        <s v="Completed"/>
        <s v="Updated"/>
        <s v="Awaiting Approval"/>
        <s v="Withdraw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2"/>
    <x v="1"/>
    <x v="2"/>
    <x v="1"/>
    <x v="2"/>
    <x v="2"/>
    <x v="2"/>
  </r>
  <r>
    <x v="3"/>
    <x v="3"/>
    <x v="3"/>
    <x v="2"/>
    <x v="3"/>
    <x v="0"/>
    <x v="3"/>
    <x v="3"/>
    <x v="3"/>
  </r>
  <r>
    <x v="4"/>
    <x v="4"/>
    <x v="4"/>
    <x v="0"/>
    <x v="4"/>
    <x v="0"/>
    <x v="4"/>
    <x v="4"/>
    <x v="3"/>
  </r>
  <r>
    <x v="5"/>
    <x v="5"/>
    <x v="5"/>
    <x v="0"/>
    <x v="5"/>
    <x v="2"/>
    <x v="5"/>
    <x v="5"/>
    <x v="4"/>
  </r>
  <r>
    <x v="6"/>
    <x v="6"/>
    <x v="6"/>
    <x v="1"/>
    <x v="6"/>
    <x v="1"/>
    <x v="6"/>
    <x v="6"/>
    <x v="3"/>
  </r>
  <r>
    <x v="7"/>
    <x v="7"/>
    <x v="7"/>
    <x v="2"/>
    <x v="7"/>
    <x v="1"/>
    <x v="3"/>
    <x v="3"/>
    <x v="5"/>
  </r>
  <r>
    <x v="8"/>
    <x v="8"/>
    <x v="8"/>
    <x v="1"/>
    <x v="8"/>
    <x v="0"/>
    <x v="7"/>
    <x v="7"/>
    <x v="5"/>
  </r>
  <r>
    <x v="9"/>
    <x v="9"/>
    <x v="9"/>
    <x v="1"/>
    <x v="9"/>
    <x v="0"/>
    <x v="8"/>
    <x v="8"/>
    <x v="3"/>
  </r>
  <r>
    <x v="10"/>
    <x v="10"/>
    <x v="10"/>
    <x v="3"/>
    <x v="0"/>
    <x v="2"/>
    <x v="9"/>
    <x v="9"/>
    <x v="6"/>
  </r>
  <r>
    <x v="11"/>
    <x v="11"/>
    <x v="11"/>
    <x v="0"/>
    <x v="1"/>
    <x v="0"/>
    <x v="10"/>
    <x v="10"/>
    <x v="1"/>
  </r>
  <r>
    <x v="12"/>
    <x v="12"/>
    <x v="6"/>
    <x v="1"/>
    <x v="10"/>
    <x v="1"/>
    <x v="11"/>
    <x v="11"/>
    <x v="7"/>
  </r>
  <r>
    <x v="13"/>
    <x v="13"/>
    <x v="1"/>
    <x v="1"/>
    <x v="6"/>
    <x v="2"/>
    <x v="12"/>
    <x v="12"/>
    <x v="4"/>
  </r>
  <r>
    <x v="14"/>
    <x v="14"/>
    <x v="12"/>
    <x v="3"/>
    <x v="4"/>
    <x v="2"/>
    <x v="12"/>
    <x v="12"/>
    <x v="8"/>
  </r>
  <r>
    <x v="15"/>
    <x v="14"/>
    <x v="10"/>
    <x v="3"/>
    <x v="10"/>
    <x v="0"/>
    <x v="13"/>
    <x v="13"/>
    <x v="1"/>
  </r>
  <r>
    <x v="16"/>
    <x v="15"/>
    <x v="13"/>
    <x v="2"/>
    <x v="3"/>
    <x v="1"/>
    <x v="14"/>
    <x v="14"/>
    <x v="7"/>
  </r>
  <r>
    <x v="17"/>
    <x v="16"/>
    <x v="14"/>
    <x v="1"/>
    <x v="9"/>
    <x v="2"/>
    <x v="15"/>
    <x v="15"/>
    <x v="6"/>
  </r>
  <r>
    <x v="18"/>
    <x v="17"/>
    <x v="8"/>
    <x v="1"/>
    <x v="8"/>
    <x v="2"/>
    <x v="16"/>
    <x v="16"/>
    <x v="4"/>
  </r>
  <r>
    <x v="19"/>
    <x v="18"/>
    <x v="4"/>
    <x v="0"/>
    <x v="11"/>
    <x v="1"/>
    <x v="17"/>
    <x v="17"/>
    <x v="7"/>
  </r>
  <r>
    <x v="20"/>
    <x v="19"/>
    <x v="15"/>
    <x v="3"/>
    <x v="12"/>
    <x v="2"/>
    <x v="10"/>
    <x v="10"/>
    <x v="9"/>
  </r>
  <r>
    <x v="21"/>
    <x v="20"/>
    <x v="16"/>
    <x v="2"/>
    <x v="13"/>
    <x v="0"/>
    <x v="18"/>
    <x v="18"/>
    <x v="1"/>
  </r>
  <r>
    <x v="22"/>
    <x v="21"/>
    <x v="7"/>
    <x v="2"/>
    <x v="14"/>
    <x v="1"/>
    <x v="19"/>
    <x v="19"/>
    <x v="10"/>
  </r>
  <r>
    <x v="23"/>
    <x v="22"/>
    <x v="17"/>
    <x v="0"/>
    <x v="15"/>
    <x v="2"/>
    <x v="20"/>
    <x v="20"/>
    <x v="6"/>
  </r>
  <r>
    <x v="24"/>
    <x v="23"/>
    <x v="18"/>
    <x v="1"/>
    <x v="16"/>
    <x v="2"/>
    <x v="21"/>
    <x v="21"/>
    <x v="8"/>
  </r>
  <r>
    <x v="25"/>
    <x v="24"/>
    <x v="10"/>
    <x v="3"/>
    <x v="17"/>
    <x v="0"/>
    <x v="22"/>
    <x v="22"/>
    <x v="1"/>
  </r>
  <r>
    <x v="26"/>
    <x v="25"/>
    <x v="2"/>
    <x v="1"/>
    <x v="18"/>
    <x v="1"/>
    <x v="23"/>
    <x v="23"/>
    <x v="10"/>
  </r>
  <r>
    <x v="27"/>
    <x v="26"/>
    <x v="1"/>
    <x v="1"/>
    <x v="19"/>
    <x v="2"/>
    <x v="22"/>
    <x v="22"/>
    <x v="4"/>
  </r>
  <r>
    <x v="28"/>
    <x v="27"/>
    <x v="2"/>
    <x v="2"/>
    <x v="20"/>
    <x v="1"/>
    <x v="13"/>
    <x v="13"/>
    <x v="7"/>
  </r>
  <r>
    <x v="29"/>
    <x v="28"/>
    <x v="9"/>
    <x v="4"/>
    <x v="21"/>
    <x v="3"/>
    <x v="11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:B5" firstHeaderRow="1" firstDataRow="1" firstDataCol="1"/>
  <pivotFields count="9">
    <pivotField dataField="1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compact="0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numFmtId="176" showAll="0"/>
    <pivotField compact="0" showAll="0"/>
    <pivotField compact="0" showAll="0"/>
  </pivotFields>
  <rowFields count="1">
    <field x="1"/>
  </rowFields>
  <rowItems count="4">
    <i>
      <x v="4"/>
    </i>
    <i>
      <x v="5"/>
    </i>
    <i>
      <x v="6"/>
    </i>
    <i t="grand">
      <x/>
    </i>
  </rowItems>
  <colItems count="1">
    <i/>
  </colItems>
  <dataFields count="1">
    <dataField name="Count of Doc. No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29"/>
  <sheetViews>
    <sheetView tabSelected="1" zoomScale="85" zoomScaleNormal="85" workbookViewId="0">
      <selection activeCell="W17" sqref="W17"/>
    </sheetView>
  </sheetViews>
  <sheetFormatPr defaultColWidth="8.88888888888889" defaultRowHeight="14.4"/>
  <cols>
    <col min="2" max="2" width="10.6666666666667" customWidth="1"/>
    <col min="3" max="3" width="9" customWidth="1"/>
    <col min="5" max="5" width="25.2222222222222" customWidth="1"/>
    <col min="7" max="7" width="15.0277777777778" customWidth="1"/>
    <col min="8" max="8" width="19.7777777777778" customWidth="1"/>
    <col min="9" max="9" width="8.75925925925926" customWidth="1"/>
    <col min="11" max="11" width="9.77777777777778" customWidth="1"/>
    <col min="14" max="14" width="8.88888888888889" customWidth="1"/>
  </cols>
  <sheetData>
    <row r="1" ht="21" spans="2:17">
      <c r="B1" s="19" t="s">
        <v>0</v>
      </c>
      <c r="C1" s="20"/>
      <c r="D1" s="20" t="s">
        <v>1</v>
      </c>
      <c r="E1" s="20"/>
      <c r="F1" s="21" t="s">
        <v>2</v>
      </c>
      <c r="G1" s="21"/>
      <c r="H1" s="20" t="s">
        <v>3</v>
      </c>
      <c r="I1" s="20"/>
      <c r="J1" s="20" t="s">
        <v>4</v>
      </c>
      <c r="K1" s="22"/>
    </row>
    <row r="2" spans="2:17">
      <c r="B2" s="23">
        <f>COUNTA('Document-Registry'!A:A)-1</f>
        <v>30</v>
      </c>
      <c r="C2" s="24"/>
      <c r="D2" s="24">
        <f>COUNTIF('Document-Registry'!F:F,"Completed")</f>
        <v>10</v>
      </c>
      <c r="E2" s="24"/>
      <c r="F2" s="24" cm="1">
        <f t="array" ref="F2">SUM(COUNTIF('Document-Registry'!F:F,{"Pending","In Progress"}))</f>
        <v>19</v>
      </c>
      <c r="G2" s="24"/>
      <c r="H2" s="24">
        <f>COUNTIF('Document-Registry'!F:F,"Cancelled")</f>
        <v>1</v>
      </c>
      <c r="I2" s="24"/>
      <c r="J2" s="24">
        <f ca="1">COUNTIF('Document-Registry'!H:H,"&lt;0")</f>
        <v>9</v>
      </c>
      <c r="K2" s="25"/>
    </row>
    <row r="3" spans="2:17">
      <c r="B3" s="26"/>
      <c r="C3" s="27"/>
      <c r="D3" s="27"/>
      <c r="E3" s="27"/>
      <c r="F3" s="27"/>
      <c r="G3" s="27"/>
      <c r="H3" s="27"/>
      <c r="I3" s="27"/>
      <c r="J3" s="27"/>
      <c r="K3" s="28"/>
    </row>
    <row r="4" ht="28.8" spans="2:17">
      <c r="E4" s="29"/>
      <c r="F4" s="29"/>
      <c r="G4" s="29"/>
      <c r="H4" s="29"/>
      <c r="I4" s="29"/>
      <c r="K4" s="30"/>
      <c r="L4" s="30"/>
      <c r="M4" s="30"/>
      <c r="N4" s="30"/>
      <c r="O4" s="30"/>
    </row>
    <row r="5" ht="18" customHeight="1" spans="2:17">
      <c r="D5" s="30" t="s">
        <v>5</v>
      </c>
      <c r="E5" s="30"/>
      <c r="F5" s="30"/>
      <c r="G5" s="29"/>
      <c r="H5" s="31" t="s">
        <v>6</v>
      </c>
      <c r="I5" s="31"/>
      <c r="J5" s="31"/>
      <c r="K5" s="32"/>
      <c r="L5" s="32"/>
      <c r="M5" s="30"/>
      <c r="N5" s="30"/>
      <c r="O5" s="30"/>
    </row>
    <row r="6" ht="28.8" spans="2:17">
      <c r="D6" s="30"/>
      <c r="E6" s="30"/>
      <c r="F6" s="30"/>
      <c r="H6" s="31"/>
      <c r="I6" s="31"/>
      <c r="J6" s="31"/>
      <c r="K6" s="32"/>
      <c r="L6" s="32"/>
      <c r="P6" s="30"/>
      <c r="Q6" s="30"/>
    </row>
    <row r="7" ht="28.8" spans="2:17">
      <c r="B7" s="3" t="s">
        <v>7</v>
      </c>
      <c r="C7" s="6" t="s">
        <v>8</v>
      </c>
      <c r="P7" s="30"/>
      <c r="Q7" s="30"/>
    </row>
    <row r="8" spans="2:17">
      <c r="B8" s="11" t="s">
        <v>1</v>
      </c>
      <c r="C8" s="14">
        <f>COUNTIF('Document-Registry'!F:F,"Completed")</f>
        <v>10</v>
      </c>
    </row>
    <row r="9" spans="2:17">
      <c r="B9" s="7" t="s">
        <v>9</v>
      </c>
      <c r="C9" s="10">
        <f>COUNTIF('Document-Registry'!F:F,"Pending")</f>
        <v>9</v>
      </c>
    </row>
    <row r="10" spans="2:17">
      <c r="B10" s="11" t="s">
        <v>10</v>
      </c>
      <c r="C10" s="14">
        <f>COUNTIF('Document-Registry'!F:F,"In Progress")</f>
        <v>10</v>
      </c>
    </row>
    <row r="11" spans="2:17">
      <c r="B11" s="15" t="s">
        <v>3</v>
      </c>
      <c r="C11" s="18">
        <f>COUNTIF('Document-Registry'!F:F,"Cancelled")</f>
        <v>1</v>
      </c>
    </row>
    <row r="21" ht="15" customHeight="1" spans="3:15">
      <c r="C21" s="29"/>
      <c r="D21" s="29"/>
      <c r="E21" s="29"/>
      <c r="I21" s="29"/>
      <c r="J21" s="29"/>
      <c r="K21" s="29"/>
      <c r="L21" s="29"/>
      <c r="M21" s="29"/>
      <c r="N21" s="29"/>
      <c r="O21" s="29"/>
    </row>
    <row r="22" ht="28.8" spans="3:15">
      <c r="C22" s="30" t="s">
        <v>11</v>
      </c>
      <c r="D22" s="30"/>
      <c r="E22" s="30"/>
      <c r="I22" s="29"/>
      <c r="J22" s="29"/>
      <c r="K22" s="29"/>
      <c r="L22" s="29"/>
      <c r="M22" s="29"/>
      <c r="N22" s="29"/>
      <c r="O22" s="29"/>
    </row>
    <row r="23" spans="3:15">
      <c r="C23" s="3" t="s">
        <v>12</v>
      </c>
      <c r="D23" s="5"/>
      <c r="E23" s="5" t="s">
        <v>13</v>
      </c>
      <c r="F23" s="5"/>
      <c r="G23" s="6" t="s">
        <v>7</v>
      </c>
    </row>
    <row r="24" spans="3:15">
      <c r="C24" s="11" t="str" cm="1">
        <f t="array" ref="C24">INDEX('Document-Registry'!A:A,COUNTA('Document-Registry'!A:A))</f>
        <v>DOC-030</v>
      </c>
      <c r="D24" s="13"/>
      <c r="E24" s="13" t="str" cm="1">
        <f t="array" ref="E24">INDEX('Document-Registry'!C:C,COUNTA('Document-Registry'!A:A))</f>
        <v>Cash Advance Request</v>
      </c>
      <c r="F24" s="13"/>
      <c r="G24" s="14" t="str" cm="1">
        <f t="array" ref="G24">INDEX('Document-Registry'!F:F,COUNTA('Document-Registry'!A:A))</f>
        <v>Cancelled</v>
      </c>
    </row>
    <row r="25" spans="3:15">
      <c r="C25" s="7" t="str" cm="1">
        <f t="array" ref="C25">INDEX('Document-Registry'!A:A,COUNTA('Document-Registry'!A:A)-1)</f>
        <v>DOC-029</v>
      </c>
      <c r="D25" s="9"/>
      <c r="E25" s="9" t="str" cm="1">
        <f t="array" ref="E25">INDEX('Document-Registry'!C:C,COUNTA('Document-Registry'!A:A)-1)</f>
        <v>Contract Renewal</v>
      </c>
      <c r="F25" s="9"/>
      <c r="G25" s="10" t="str" cm="1">
        <f t="array" ref="G25">INDEX('Document-Registry'!F:F,COUNTA('Document-Registry'!A:A)-1)</f>
        <v>In Progress</v>
      </c>
    </row>
    <row r="26" spans="3:15">
      <c r="C26" s="11" t="str" cm="1">
        <f t="array" ref="C26">INDEX('Document-Registry'!A:A,COUNTA('Document-Registry'!A:A)-2)</f>
        <v>DOC-028</v>
      </c>
      <c r="D26" s="13"/>
      <c r="E26" s="13" t="str" cm="1">
        <f t="array" ref="E26">INDEX('Document-Registry'!C:C,COUNTA('Document-Registry'!A:A)-2)</f>
        <v>Procurement Request</v>
      </c>
      <c r="F26" s="13"/>
      <c r="G26" s="14" t="str" cm="1">
        <f t="array" ref="G26">INDEX('Document-Registry'!F:F,COUNTA('Document-Registry'!A:A)-2)</f>
        <v>Completed</v>
      </c>
    </row>
    <row r="27" spans="3:15">
      <c r="C27" s="7" t="str" cm="1">
        <f t="array" ref="C27">INDEX('Document-Registry'!A:A,COUNTA('Document-Registry'!A:A)-3)</f>
        <v>DOC-027</v>
      </c>
      <c r="D27" s="9"/>
      <c r="E27" s="9" t="str" cm="1">
        <f t="array" ref="E27">INDEX('Document-Registry'!C:C,COUNTA('Document-Registry'!A:A)-3)</f>
        <v>Contract Renewal</v>
      </c>
      <c r="F27" s="9"/>
      <c r="G27" s="10" t="str" cm="1">
        <f t="array" ref="G27">INDEX('Document-Registry'!F:F,COUNTA('Document-Registry'!A:A)-3)</f>
        <v>In Progress</v>
      </c>
    </row>
    <row r="28" spans="3:15">
      <c r="C28" s="11" t="str" cm="1">
        <f t="array" ref="C28">INDEX('Document-Registry'!A:A,COUNTA('Document-Registry'!A:A)-4)</f>
        <v>DOC-026</v>
      </c>
      <c r="D28" s="13"/>
      <c r="E28" s="13" t="str" cm="1">
        <f t="array" ref="E28">INDEX('Document-Registry'!C:C,COUNTA('Document-Registry'!A:A)-4)</f>
        <v>Leave Application</v>
      </c>
      <c r="F28" s="13"/>
      <c r="G28" s="14" t="str" cm="1">
        <f t="array" ref="G28">INDEX('Document-Registry'!F:F,COUNTA('Document-Registry'!A:A)-4)</f>
        <v>Pending</v>
      </c>
    </row>
    <row r="29" spans="3:15">
      <c r="C29" s="15" t="str" cm="1">
        <f t="array" ref="C29">INDEX('Document-Registry'!A:A,COUNTA('Document-Registry'!A:A)-5)</f>
        <v>DOC-025</v>
      </c>
      <c r="D29" s="17"/>
      <c r="E29" s="17" t="str" cm="1">
        <f t="array" ref="E29">INDEX('Document-Registry'!C:C,COUNTA('Document-Registry'!A:A)-5)</f>
        <v>Meeting Room Reservation</v>
      </c>
      <c r="F29" s="17"/>
      <c r="G29" s="18" t="str" cm="1">
        <f t="array" ref="G29">INDEX('Document-Registry'!F:F,COUNTA('Document-Registry'!A:A)-5)</f>
        <v>Completed</v>
      </c>
    </row>
  </sheetData>
  <mergeCells count="13">
    <mergeCell ref="B1:C1"/>
    <mergeCell ref="D1:E1"/>
    <mergeCell ref="F1:G1"/>
    <mergeCell ref="H1:I1"/>
    <mergeCell ref="J1:K1"/>
    <mergeCell ref="C22:E22"/>
    <mergeCell ref="B2:C3"/>
    <mergeCell ref="D2:E3"/>
    <mergeCell ref="F2:G3"/>
    <mergeCell ref="H2:I3"/>
    <mergeCell ref="J2:K3"/>
    <mergeCell ref="H5:J6"/>
    <mergeCell ref="D5:F6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zoomScale="90" zoomScaleNormal="90" workbookViewId="0">
      <selection activeCell="F14" sqref="F14"/>
    </sheetView>
  </sheetViews>
  <sheetFormatPr defaultColWidth="8.88888888888889" defaultRowHeight="14.4"/>
  <cols>
    <col min="1" max="1" width="8.33333333333333" customWidth="1"/>
    <col min="2" max="2" width="13.7777777777778" style="2" customWidth="1"/>
    <col min="3" max="3" width="24.7777777777778" customWidth="1"/>
    <col min="4" max="4" width="14" customWidth="1"/>
    <col min="5" max="5" width="15.2222222222222" customWidth="1"/>
    <col min="6" max="6" width="10.6666666666667" customWidth="1"/>
    <col min="7" max="7" width="10.2222222222222" style="2" customWidth="1"/>
    <col min="8" max="8" width="15" customWidth="1"/>
    <col min="9" max="9" width="33" customWidth="1"/>
  </cols>
  <sheetData>
    <row r="1" spans="1:14">
      <c r="A1" s="3" t="s">
        <v>14</v>
      </c>
      <c r="B1" s="4" t="s">
        <v>15</v>
      </c>
      <c r="C1" s="5" t="s">
        <v>13</v>
      </c>
      <c r="D1" s="5" t="s">
        <v>16</v>
      </c>
      <c r="E1" s="5" t="s">
        <v>17</v>
      </c>
      <c r="F1" s="5" t="s">
        <v>7</v>
      </c>
      <c r="G1" s="4" t="s">
        <v>18</v>
      </c>
      <c r="H1" s="5" t="s">
        <v>19</v>
      </c>
      <c r="I1" s="6" t="s">
        <v>20</v>
      </c>
    </row>
    <row r="2" spans="1:14">
      <c r="A2" s="7" t="s">
        <v>21</v>
      </c>
      <c r="B2" s="8">
        <v>46118</v>
      </c>
      <c r="C2" s="9" t="s">
        <v>22</v>
      </c>
      <c r="D2" s="9" t="s">
        <v>23</v>
      </c>
      <c r="E2" s="9" t="s">
        <v>24</v>
      </c>
      <c r="F2" s="9" t="s">
        <v>9</v>
      </c>
      <c r="G2" s="8">
        <v>46178</v>
      </c>
      <c r="H2" s="9">
        <f ca="1" t="shared" ref="H2:H31" si="0">G2-TODAY()</f>
        <v>-25</v>
      </c>
      <c r="I2" s="10" t="s">
        <v>25</v>
      </c>
      <c r="L2" s="1"/>
      <c r="M2" s="1"/>
      <c r="N2" s="1"/>
    </row>
    <row r="3" spans="1:14">
      <c r="A3" s="11" t="s">
        <v>26</v>
      </c>
      <c r="B3" s="12">
        <v>46127</v>
      </c>
      <c r="C3" s="13" t="s">
        <v>27</v>
      </c>
      <c r="D3" s="13" t="s">
        <v>28</v>
      </c>
      <c r="E3" s="13" t="s">
        <v>29</v>
      </c>
      <c r="F3" s="13" t="s">
        <v>10</v>
      </c>
      <c r="G3" s="12">
        <v>46185</v>
      </c>
      <c r="H3" s="13">
        <f ca="1" t="shared" si="0"/>
        <v>-18</v>
      </c>
      <c r="I3" s="14" t="s">
        <v>30</v>
      </c>
      <c r="L3" s="1"/>
      <c r="M3" s="1"/>
      <c r="N3" s="1"/>
    </row>
    <row r="4" spans="1:14">
      <c r="A4" s="7" t="s">
        <v>31</v>
      </c>
      <c r="B4" s="8">
        <v>46140</v>
      </c>
      <c r="C4" s="9" t="s">
        <v>32</v>
      </c>
      <c r="D4" s="9" t="s">
        <v>28</v>
      </c>
      <c r="E4" s="9" t="s">
        <v>33</v>
      </c>
      <c r="F4" s="9" t="s">
        <v>10</v>
      </c>
      <c r="G4" s="8">
        <v>46195</v>
      </c>
      <c r="H4" s="9">
        <f ca="1" t="shared" si="0"/>
        <v>-8</v>
      </c>
      <c r="I4" s="10" t="s">
        <v>34</v>
      </c>
      <c r="L4" s="1"/>
      <c r="M4" s="1"/>
      <c r="N4" s="1"/>
    </row>
    <row r="5" spans="1:14">
      <c r="A5" s="11" t="s">
        <v>35</v>
      </c>
      <c r="B5" s="8">
        <v>46141</v>
      </c>
      <c r="C5" s="9" t="s">
        <v>36</v>
      </c>
      <c r="D5" s="9" t="s">
        <v>37</v>
      </c>
      <c r="E5" s="9" t="s">
        <v>38</v>
      </c>
      <c r="F5" s="9" t="s">
        <v>9</v>
      </c>
      <c r="G5" s="8">
        <v>46198</v>
      </c>
      <c r="H5" s="9">
        <f ca="1" t="shared" si="0"/>
        <v>-5</v>
      </c>
      <c r="I5" s="10" t="s">
        <v>30</v>
      </c>
      <c r="L5" s="1"/>
      <c r="M5" s="1"/>
      <c r="N5" s="1"/>
    </row>
    <row r="6" spans="1:14">
      <c r="A6" s="11" t="s">
        <v>39</v>
      </c>
      <c r="B6" s="12">
        <v>46152</v>
      </c>
      <c r="C6" s="13" t="s">
        <v>40</v>
      </c>
      <c r="D6" s="13" t="s">
        <v>23</v>
      </c>
      <c r="E6" s="13" t="s">
        <v>41</v>
      </c>
      <c r="F6" s="13" t="s">
        <v>9</v>
      </c>
      <c r="G6" s="12">
        <v>46191</v>
      </c>
      <c r="H6" s="13">
        <f ca="1" t="shared" si="0"/>
        <v>-12</v>
      </c>
      <c r="I6" s="14" t="s">
        <v>30</v>
      </c>
      <c r="L6" s="1"/>
      <c r="M6" s="1"/>
      <c r="N6" s="1"/>
    </row>
    <row r="7" spans="1:14">
      <c r="A7" s="7" t="s">
        <v>42</v>
      </c>
      <c r="B7" s="12">
        <v>46154</v>
      </c>
      <c r="C7" s="13" t="s">
        <v>43</v>
      </c>
      <c r="D7" s="13" t="s">
        <v>23</v>
      </c>
      <c r="E7" s="13" t="s">
        <v>44</v>
      </c>
      <c r="F7" s="13" t="s">
        <v>1</v>
      </c>
      <c r="G7" s="12">
        <v>46203</v>
      </c>
      <c r="H7" s="13">
        <f ca="1" t="shared" si="0"/>
        <v>0</v>
      </c>
      <c r="I7" s="14" t="s">
        <v>45</v>
      </c>
      <c r="L7" s="1"/>
      <c r="M7" s="1"/>
      <c r="N7" s="1"/>
    </row>
    <row r="8" spans="1:14">
      <c r="A8" s="11" t="s">
        <v>46</v>
      </c>
      <c r="B8" s="12">
        <v>46159</v>
      </c>
      <c r="C8" s="13" t="s">
        <v>47</v>
      </c>
      <c r="D8" s="13" t="s">
        <v>28</v>
      </c>
      <c r="E8" s="13" t="s">
        <v>48</v>
      </c>
      <c r="F8" s="13" t="s">
        <v>10</v>
      </c>
      <c r="G8" s="12">
        <v>46193</v>
      </c>
      <c r="H8" s="13">
        <f ca="1" t="shared" si="0"/>
        <v>-10</v>
      </c>
      <c r="I8" s="14" t="s">
        <v>30</v>
      </c>
      <c r="L8" s="1"/>
      <c r="M8" s="1"/>
      <c r="N8" s="1"/>
    </row>
    <row r="9" spans="1:14">
      <c r="A9" s="7" t="s">
        <v>49</v>
      </c>
      <c r="B9" s="12">
        <v>46165</v>
      </c>
      <c r="C9" s="13" t="s">
        <v>50</v>
      </c>
      <c r="D9" s="13" t="s">
        <v>37</v>
      </c>
      <c r="E9" s="13" t="s">
        <v>51</v>
      </c>
      <c r="F9" s="13" t="s">
        <v>10</v>
      </c>
      <c r="G9" s="12">
        <v>46198</v>
      </c>
      <c r="H9" s="13">
        <f ca="1" t="shared" si="0"/>
        <v>-5</v>
      </c>
      <c r="I9" s="14" t="s">
        <v>52</v>
      </c>
      <c r="L9" s="1"/>
      <c r="M9" s="1"/>
      <c r="N9" s="1"/>
    </row>
    <row r="10" spans="1:14">
      <c r="A10" s="11" t="s">
        <v>53</v>
      </c>
      <c r="B10" s="8">
        <v>46167</v>
      </c>
      <c r="C10" s="9" t="s">
        <v>54</v>
      </c>
      <c r="D10" s="9" t="s">
        <v>28</v>
      </c>
      <c r="E10" s="9" t="s">
        <v>55</v>
      </c>
      <c r="F10" s="9" t="s">
        <v>9</v>
      </c>
      <c r="G10" s="8">
        <v>46200</v>
      </c>
      <c r="H10" s="9">
        <f ca="1" t="shared" si="0"/>
        <v>-3</v>
      </c>
      <c r="I10" s="10" t="s">
        <v>52</v>
      </c>
      <c r="L10" s="1"/>
      <c r="M10" s="1"/>
      <c r="N10" s="1"/>
    </row>
    <row r="11" spans="1:14">
      <c r="A11" s="7" t="s">
        <v>56</v>
      </c>
      <c r="B11" s="8">
        <v>46168</v>
      </c>
      <c r="C11" s="9" t="s">
        <v>57</v>
      </c>
      <c r="D11" s="9" t="s">
        <v>28</v>
      </c>
      <c r="E11" s="9" t="s">
        <v>58</v>
      </c>
      <c r="F11" s="9" t="s">
        <v>9</v>
      </c>
      <c r="G11" s="8">
        <v>46201</v>
      </c>
      <c r="H11" s="9">
        <f ca="1" t="shared" si="0"/>
        <v>-2</v>
      </c>
      <c r="I11" s="10" t="s">
        <v>30</v>
      </c>
      <c r="L11" s="1"/>
      <c r="M11" s="1"/>
      <c r="N11" s="1"/>
    </row>
    <row r="12" spans="1:14">
      <c r="A12" s="11" t="s">
        <v>59</v>
      </c>
      <c r="B12" s="12">
        <v>46174</v>
      </c>
      <c r="C12" s="13" t="s">
        <v>60</v>
      </c>
      <c r="D12" s="13" t="s">
        <v>61</v>
      </c>
      <c r="E12" s="13" t="s">
        <v>24</v>
      </c>
      <c r="F12" s="13" t="s">
        <v>1</v>
      </c>
      <c r="G12" s="12">
        <v>46213</v>
      </c>
      <c r="H12" s="13">
        <f ca="1" t="shared" si="0"/>
        <v>10</v>
      </c>
      <c r="I12" s="14" t="s">
        <v>62</v>
      </c>
      <c r="L12" s="1"/>
      <c r="M12" s="1"/>
      <c r="N12" s="1"/>
    </row>
    <row r="13" spans="1:14">
      <c r="A13" s="7" t="s">
        <v>63</v>
      </c>
      <c r="B13" s="8">
        <v>46175</v>
      </c>
      <c r="C13" s="9" t="s">
        <v>64</v>
      </c>
      <c r="D13" s="9" t="s">
        <v>23</v>
      </c>
      <c r="E13" s="9" t="s">
        <v>29</v>
      </c>
      <c r="F13" s="9" t="s">
        <v>9</v>
      </c>
      <c r="G13" s="8">
        <v>46214</v>
      </c>
      <c r="H13" s="9">
        <f ca="1" t="shared" si="0"/>
        <v>11</v>
      </c>
      <c r="I13" s="10" t="s">
        <v>65</v>
      </c>
      <c r="L13" s="1"/>
      <c r="M13" s="1"/>
      <c r="N13" s="1"/>
    </row>
    <row r="14" spans="1:14">
      <c r="A14" s="11" t="s">
        <v>66</v>
      </c>
      <c r="B14" s="12">
        <v>46176</v>
      </c>
      <c r="C14" s="13" t="s">
        <v>47</v>
      </c>
      <c r="D14" s="13" t="s">
        <v>28</v>
      </c>
      <c r="E14" s="13" t="s">
        <v>67</v>
      </c>
      <c r="F14" s="13" t="s">
        <v>10</v>
      </c>
      <c r="G14" s="12">
        <v>46215</v>
      </c>
      <c r="H14" s="13">
        <f ca="1" t="shared" si="0"/>
        <v>12</v>
      </c>
      <c r="I14" s="14" t="s">
        <v>68</v>
      </c>
      <c r="L14" s="1"/>
      <c r="M14" s="1"/>
      <c r="N14" s="1"/>
    </row>
    <row r="15" spans="1:14">
      <c r="A15" s="7" t="s">
        <v>69</v>
      </c>
      <c r="B15" s="8">
        <v>46177</v>
      </c>
      <c r="C15" s="9" t="s">
        <v>27</v>
      </c>
      <c r="D15" s="9" t="s">
        <v>28</v>
      </c>
      <c r="E15" s="9" t="s">
        <v>48</v>
      </c>
      <c r="F15" s="9" t="s">
        <v>1</v>
      </c>
      <c r="G15" s="8">
        <v>46209</v>
      </c>
      <c r="H15" s="9">
        <f ca="1" t="shared" si="0"/>
        <v>6</v>
      </c>
      <c r="I15" s="10" t="s">
        <v>45</v>
      </c>
      <c r="L15" s="1"/>
      <c r="M15" s="1"/>
      <c r="N15" s="1"/>
    </row>
    <row r="16" spans="1:14">
      <c r="A16" s="11" t="s">
        <v>70</v>
      </c>
      <c r="B16" s="12">
        <v>46178</v>
      </c>
      <c r="C16" s="13" t="s">
        <v>71</v>
      </c>
      <c r="D16" s="13" t="s">
        <v>61</v>
      </c>
      <c r="E16" s="13" t="s">
        <v>41</v>
      </c>
      <c r="F16" s="13" t="s">
        <v>1</v>
      </c>
      <c r="G16" s="12">
        <v>46209</v>
      </c>
      <c r="H16" s="13">
        <f ca="1" t="shared" si="0"/>
        <v>6</v>
      </c>
      <c r="I16" s="14" t="s">
        <v>1</v>
      </c>
      <c r="L16" s="1"/>
      <c r="M16" s="1"/>
      <c r="N16" s="1"/>
    </row>
    <row r="17" spans="1:14">
      <c r="A17" s="7" t="s">
        <v>72</v>
      </c>
      <c r="B17" s="8">
        <v>46178</v>
      </c>
      <c r="C17" s="9" t="s">
        <v>60</v>
      </c>
      <c r="D17" s="9" t="s">
        <v>61</v>
      </c>
      <c r="E17" s="9" t="s">
        <v>67</v>
      </c>
      <c r="F17" s="9" t="s">
        <v>9</v>
      </c>
      <c r="G17" s="8">
        <v>46218</v>
      </c>
      <c r="H17" s="9">
        <f ca="1" t="shared" si="0"/>
        <v>15</v>
      </c>
      <c r="I17" s="10" t="s">
        <v>65</v>
      </c>
      <c r="L17" s="1"/>
      <c r="M17" s="1"/>
      <c r="N17" s="1"/>
    </row>
    <row r="18" spans="1:14">
      <c r="A18" s="11" t="s">
        <v>73</v>
      </c>
      <c r="B18" s="12">
        <v>46179</v>
      </c>
      <c r="C18" s="13" t="s">
        <v>74</v>
      </c>
      <c r="D18" s="13" t="s">
        <v>37</v>
      </c>
      <c r="E18" s="13" t="s">
        <v>38</v>
      </c>
      <c r="F18" s="13" t="s">
        <v>10</v>
      </c>
      <c r="G18" s="12">
        <v>46217</v>
      </c>
      <c r="H18" s="13">
        <f ca="1" t="shared" si="0"/>
        <v>14</v>
      </c>
      <c r="I18" s="14" t="s">
        <v>68</v>
      </c>
      <c r="L18" s="1"/>
      <c r="M18" s="1"/>
      <c r="N18" s="1"/>
    </row>
    <row r="19" spans="1:14">
      <c r="A19" s="7" t="s">
        <v>75</v>
      </c>
      <c r="B19" s="8">
        <v>46180</v>
      </c>
      <c r="C19" s="9" t="s">
        <v>76</v>
      </c>
      <c r="D19" s="9" t="s">
        <v>28</v>
      </c>
      <c r="E19" s="9" t="s">
        <v>58</v>
      </c>
      <c r="F19" s="9" t="s">
        <v>1</v>
      </c>
      <c r="G19" s="8">
        <v>46210</v>
      </c>
      <c r="H19" s="9">
        <f ca="1" t="shared" si="0"/>
        <v>7</v>
      </c>
      <c r="I19" s="10" t="s">
        <v>62</v>
      </c>
    </row>
    <row r="20" spans="1:14">
      <c r="A20" s="11" t="s">
        <v>77</v>
      </c>
      <c r="B20" s="8">
        <v>46183</v>
      </c>
      <c r="C20" s="9" t="s">
        <v>54</v>
      </c>
      <c r="D20" s="9" t="s">
        <v>28</v>
      </c>
      <c r="E20" s="9" t="s">
        <v>55</v>
      </c>
      <c r="F20" s="9" t="s">
        <v>1</v>
      </c>
      <c r="G20" s="8">
        <v>46216</v>
      </c>
      <c r="H20" s="9">
        <f ca="1" t="shared" si="0"/>
        <v>13</v>
      </c>
      <c r="I20" s="10" t="s">
        <v>45</v>
      </c>
    </row>
    <row r="21" spans="1:14">
      <c r="A21" s="7" t="s">
        <v>78</v>
      </c>
      <c r="B21" s="8">
        <v>46184</v>
      </c>
      <c r="C21" s="9" t="s">
        <v>40</v>
      </c>
      <c r="D21" s="9" t="s">
        <v>23</v>
      </c>
      <c r="E21" s="9" t="s">
        <v>79</v>
      </c>
      <c r="F21" s="9" t="s">
        <v>10</v>
      </c>
      <c r="G21" s="8">
        <v>46223</v>
      </c>
      <c r="H21" s="9">
        <f ca="1" t="shared" si="0"/>
        <v>20</v>
      </c>
      <c r="I21" s="10" t="s">
        <v>68</v>
      </c>
    </row>
    <row r="22" spans="1:14">
      <c r="A22" s="11" t="s">
        <v>80</v>
      </c>
      <c r="B22" s="12">
        <v>46185</v>
      </c>
      <c r="C22" s="13" t="s">
        <v>81</v>
      </c>
      <c r="D22" s="13" t="s">
        <v>61</v>
      </c>
      <c r="E22" s="13" t="s">
        <v>82</v>
      </c>
      <c r="F22" s="13" t="s">
        <v>1</v>
      </c>
      <c r="G22" s="12">
        <v>46214</v>
      </c>
      <c r="H22" s="13">
        <f ca="1" t="shared" si="0"/>
        <v>11</v>
      </c>
      <c r="I22" s="14" t="s">
        <v>83</v>
      </c>
    </row>
    <row r="23" spans="1:14">
      <c r="A23" s="7" t="s">
        <v>84</v>
      </c>
      <c r="B23" s="8">
        <v>46187</v>
      </c>
      <c r="C23" s="9" t="s">
        <v>85</v>
      </c>
      <c r="D23" s="9" t="s">
        <v>37</v>
      </c>
      <c r="E23" s="9" t="s">
        <v>86</v>
      </c>
      <c r="F23" s="9" t="s">
        <v>9</v>
      </c>
      <c r="G23" s="8">
        <v>46224</v>
      </c>
      <c r="H23" s="9">
        <f ca="1" t="shared" si="0"/>
        <v>21</v>
      </c>
      <c r="I23" s="10" t="s">
        <v>65</v>
      </c>
    </row>
    <row r="24" spans="1:14">
      <c r="A24" s="11" t="s">
        <v>87</v>
      </c>
      <c r="B24" s="12">
        <v>46188</v>
      </c>
      <c r="C24" s="13" t="s">
        <v>50</v>
      </c>
      <c r="D24" s="13" t="s">
        <v>37</v>
      </c>
      <c r="E24" s="13" t="s">
        <v>88</v>
      </c>
      <c r="F24" s="13" t="s">
        <v>10</v>
      </c>
      <c r="G24" s="12">
        <v>46225</v>
      </c>
      <c r="H24" s="13">
        <f ca="1" t="shared" si="0"/>
        <v>22</v>
      </c>
      <c r="I24" s="14" t="s">
        <v>89</v>
      </c>
    </row>
    <row r="25" spans="1:14">
      <c r="A25" s="7" t="s">
        <v>90</v>
      </c>
      <c r="B25" s="12">
        <v>46189</v>
      </c>
      <c r="C25" s="13" t="s">
        <v>91</v>
      </c>
      <c r="D25" s="13" t="s">
        <v>23</v>
      </c>
      <c r="E25" s="13" t="s">
        <v>92</v>
      </c>
      <c r="F25" s="13" t="s">
        <v>1</v>
      </c>
      <c r="G25" s="12">
        <v>46222</v>
      </c>
      <c r="H25" s="13">
        <f ca="1" t="shared" si="0"/>
        <v>19</v>
      </c>
      <c r="I25" s="14" t="s">
        <v>62</v>
      </c>
    </row>
    <row r="26" spans="1:14">
      <c r="A26" s="11" t="s">
        <v>93</v>
      </c>
      <c r="B26" s="8">
        <v>46190</v>
      </c>
      <c r="C26" s="9" t="s">
        <v>94</v>
      </c>
      <c r="D26" s="9" t="s">
        <v>28</v>
      </c>
      <c r="E26" s="9" t="s">
        <v>95</v>
      </c>
      <c r="F26" s="9" t="s">
        <v>1</v>
      </c>
      <c r="G26" s="8">
        <v>46221</v>
      </c>
      <c r="H26" s="9">
        <f ca="1" t="shared" si="0"/>
        <v>18</v>
      </c>
      <c r="I26" s="10" t="s">
        <v>1</v>
      </c>
    </row>
    <row r="27" spans="1:14">
      <c r="A27" s="7" t="s">
        <v>96</v>
      </c>
      <c r="B27" s="12">
        <v>46191</v>
      </c>
      <c r="C27" s="13" t="s">
        <v>60</v>
      </c>
      <c r="D27" s="13" t="s">
        <v>61</v>
      </c>
      <c r="E27" s="13" t="s">
        <v>97</v>
      </c>
      <c r="F27" s="13" t="s">
        <v>9</v>
      </c>
      <c r="G27" s="12">
        <v>46228</v>
      </c>
      <c r="H27" s="13">
        <f ca="1" t="shared" si="0"/>
        <v>25</v>
      </c>
      <c r="I27" s="14" t="s">
        <v>65</v>
      </c>
    </row>
    <row r="28" spans="1:14">
      <c r="A28" s="11" t="s">
        <v>98</v>
      </c>
      <c r="B28" s="12">
        <v>46192</v>
      </c>
      <c r="C28" s="13" t="s">
        <v>32</v>
      </c>
      <c r="D28" s="13" t="s">
        <v>28</v>
      </c>
      <c r="E28" s="13" t="s">
        <v>99</v>
      </c>
      <c r="F28" s="13" t="s">
        <v>10</v>
      </c>
      <c r="G28" s="12">
        <v>46231</v>
      </c>
      <c r="H28" s="13">
        <f ca="1" t="shared" si="0"/>
        <v>28</v>
      </c>
      <c r="I28" s="14" t="s">
        <v>89</v>
      </c>
    </row>
    <row r="29" spans="1:14">
      <c r="A29" s="7" t="s">
        <v>100</v>
      </c>
      <c r="B29" s="8">
        <v>46193</v>
      </c>
      <c r="C29" s="9" t="s">
        <v>27</v>
      </c>
      <c r="D29" s="9" t="s">
        <v>28</v>
      </c>
      <c r="E29" s="9" t="s">
        <v>101</v>
      </c>
      <c r="F29" s="9" t="s">
        <v>1</v>
      </c>
      <c r="G29" s="8">
        <v>46228</v>
      </c>
      <c r="H29" s="9">
        <f ca="1" t="shared" si="0"/>
        <v>25</v>
      </c>
      <c r="I29" s="10" t="s">
        <v>45</v>
      </c>
    </row>
    <row r="30" spans="1:14">
      <c r="A30" s="11" t="s">
        <v>102</v>
      </c>
      <c r="B30" s="12">
        <v>46195</v>
      </c>
      <c r="C30" s="13" t="s">
        <v>32</v>
      </c>
      <c r="D30" s="13" t="s">
        <v>37</v>
      </c>
      <c r="E30" s="13" t="s">
        <v>103</v>
      </c>
      <c r="F30" s="13" t="s">
        <v>10</v>
      </c>
      <c r="G30" s="12">
        <v>46218</v>
      </c>
      <c r="H30" s="13">
        <f ca="1" t="shared" si="0"/>
        <v>15</v>
      </c>
      <c r="I30" s="14" t="s">
        <v>68</v>
      </c>
    </row>
    <row r="31" spans="1:14">
      <c r="A31" s="15" t="s">
        <v>104</v>
      </c>
      <c r="B31" s="16">
        <v>46196</v>
      </c>
      <c r="C31" s="17" t="s">
        <v>57</v>
      </c>
      <c r="D31" s="17" t="s">
        <v>105</v>
      </c>
      <c r="E31" s="17" t="s">
        <v>106</v>
      </c>
      <c r="F31" s="17" t="s">
        <v>3</v>
      </c>
      <c r="G31" s="16">
        <v>46215</v>
      </c>
      <c r="H31" s="17">
        <f ca="1" t="shared" si="0"/>
        <v>12</v>
      </c>
      <c r="I31" s="18" t="s">
        <v>107</v>
      </c>
    </row>
  </sheetData>
  <sortState ref="A2:I31">
    <sortCondition ref="A3"/>
  </sortState>
  <conditionalFormatting sqref="F$1:F$1048576">
    <cfRule type="containsText" dxfId="0" priority="6" operator="between" text="Completed">
      <formula>NOT(ISERROR(SEARCH("Completed",F1)))</formula>
    </cfRule>
    <cfRule type="containsText" dxfId="1" priority="5" operator="between" text="Pending">
      <formula>NOT(ISERROR(SEARCH("Pending",F1)))</formula>
    </cfRule>
    <cfRule type="containsText" dxfId="2" priority="4" operator="between" text="In Progress">
      <formula>NOT(ISERROR(SEARCH("In Progress",F1)))</formula>
    </cfRule>
    <cfRule type="containsText" dxfId="3" priority="3" operator="between" text="Cancelled">
      <formula>NOT(ISERROR(SEARCH("Cancelled",F1)))</formula>
    </cfRule>
  </conditionalFormatting>
  <conditionalFormatting sqref="H$1:H$1048576">
    <cfRule type="cellIs" dxfId="4" priority="2" operator="lessThan">
      <formula>0</formula>
    </cfRule>
  </conditionalFormatting>
  <conditionalFormatting sqref="I$1:I$1048576">
    <cfRule type="containsText" dxfId="5" priority="1" operator="between" text="OVERDUE">
      <formula>NOT(ISERROR(SEARCH("OVERDUE",I1)))</formula>
    </cfRule>
  </conditionalFormatting>
  <dataValidations count="3">
    <dataValidation type="list" allowBlank="1" showInputMessage="1" showErrorMessage="1" sqref="D$1:D$1048576">
      <formula1>Lists!$B$2:$B$7</formula1>
    </dataValidation>
    <dataValidation type="list" allowBlank="1" showInputMessage="1" showErrorMessage="1" sqref="F$1:F$1048576">
      <formula1>Lists!$A$2:$A$5</formula1>
    </dataValidation>
    <dataValidation type="list" allowBlank="1" showInputMessage="1" showErrorMessage="1" sqref="I$1:I$1048576">
      <formula1>"OVERDUE - Awaiting Approval,OVERDUE - Incomplete Requirements,OVERDUE - Awaiting Parts,OVERDUE - Documentation Lacking,Awaiting Review,Updated,Released,Completed,Approved,Awaiting Approval,For Signature,Withdrawn"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7" sqref="B7"/>
    </sheetView>
  </sheetViews>
  <sheetFormatPr defaultColWidth="8.88888888888889" defaultRowHeight="14.4" outlineLevelRow="4" outlineLevelCol="1"/>
  <cols>
    <col min="1" max="1" width="16"/>
    <col min="2" max="2" width="16.8888888888889"/>
  </cols>
  <sheetData>
    <row r="1" spans="1:2">
      <c r="A1" t="s">
        <v>15</v>
      </c>
      <c r="B1" t="s">
        <v>108</v>
      </c>
    </row>
    <row r="2" spans="1:2">
      <c r="A2" t="s">
        <v>109</v>
      </c>
      <c r="B2">
        <v>4</v>
      </c>
    </row>
    <row r="3" spans="1:2">
      <c r="A3" t="s">
        <v>110</v>
      </c>
      <c r="B3">
        <v>6</v>
      </c>
    </row>
    <row r="4" spans="1:2">
      <c r="A4" t="s">
        <v>111</v>
      </c>
      <c r="B4">
        <v>20</v>
      </c>
    </row>
    <row r="5" spans="1:2">
      <c r="A5" t="s">
        <v>112</v>
      </c>
      <c r="B5">
        <v>30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8" sqref="A8"/>
    </sheetView>
  </sheetViews>
  <sheetFormatPr defaultColWidth="8.88888888888889" defaultRowHeight="14.4" outlineLevelRow="6"/>
  <cols>
    <col min="1" max="1" width="10.6666666666667" customWidth="1"/>
    <col min="2" max="2" width="14" customWidth="1"/>
    <col min="4" max="4" width="28.5555555555556" customWidth="1"/>
    <col min="5" max="5" width="32.7777777777778" customWidth="1"/>
    <col min="6" max="6" width="22" customWidth="1"/>
    <col min="7" max="7" width="28" customWidth="1"/>
    <col min="9" max="9" width="9.77777777777778" customWidth="1"/>
  </cols>
  <sheetData>
    <row r="1" spans="1:9">
      <c r="A1" s="1" t="s">
        <v>113</v>
      </c>
      <c r="B1" s="1" t="s">
        <v>114</v>
      </c>
      <c r="C1" s="1"/>
      <c r="D1" s="1" t="s">
        <v>115</v>
      </c>
      <c r="E1" s="1" t="s">
        <v>10</v>
      </c>
      <c r="F1" s="1" t="s">
        <v>1</v>
      </c>
      <c r="G1" s="1" t="s">
        <v>3</v>
      </c>
      <c r="H1" s="1"/>
      <c r="I1" s="1"/>
    </row>
    <row r="2" spans="1:9">
      <c r="A2" s="1" t="s">
        <v>9</v>
      </c>
      <c r="B2" s="1" t="s">
        <v>28</v>
      </c>
      <c r="C2" s="1"/>
      <c r="D2" s="1" t="s">
        <v>116</v>
      </c>
      <c r="E2" s="1" t="s">
        <v>117</v>
      </c>
      <c r="F2" s="1" t="s">
        <v>118</v>
      </c>
      <c r="G2" s="1" t="s">
        <v>119</v>
      </c>
      <c r="H2" s="1"/>
      <c r="I2" s="1"/>
    </row>
    <row r="3" spans="1:9">
      <c r="A3" s="1" t="s">
        <v>10</v>
      </c>
      <c r="B3" s="1" t="s">
        <v>23</v>
      </c>
      <c r="C3" s="1"/>
      <c r="D3" s="1" t="s">
        <v>120</v>
      </c>
      <c r="E3" s="1" t="s">
        <v>121</v>
      </c>
      <c r="F3" s="1" t="s">
        <v>122</v>
      </c>
      <c r="G3" s="1" t="s">
        <v>123</v>
      </c>
      <c r="H3" s="1"/>
      <c r="I3" s="1"/>
    </row>
    <row r="4" spans="1:9">
      <c r="A4" s="1" t="s">
        <v>1</v>
      </c>
      <c r="B4" s="1" t="s">
        <v>61</v>
      </c>
      <c r="C4" s="1"/>
      <c r="D4" s="1" t="s">
        <v>124</v>
      </c>
      <c r="E4" s="1" t="s">
        <v>125</v>
      </c>
      <c r="F4" s="1" t="s">
        <v>126</v>
      </c>
      <c r="G4" s="1" t="s">
        <v>127</v>
      </c>
      <c r="H4" s="1"/>
      <c r="I4" s="1"/>
    </row>
    <row r="5" spans="1:9">
      <c r="A5" s="1" t="s">
        <v>3</v>
      </c>
      <c r="B5" s="1" t="s">
        <v>37</v>
      </c>
      <c r="C5" s="1"/>
      <c r="D5" s="1" t="s">
        <v>128</v>
      </c>
      <c r="E5" s="1" t="s">
        <v>129</v>
      </c>
      <c r="F5" s="1" t="s">
        <v>130</v>
      </c>
      <c r="G5" s="1" t="s">
        <v>131</v>
      </c>
      <c r="H5" s="1"/>
      <c r="I5" s="1"/>
    </row>
    <row r="6" spans="1:9">
      <c r="A6" s="1"/>
      <c r="B6" s="1" t="s">
        <v>132</v>
      </c>
      <c r="C6" s="1"/>
      <c r="D6" s="1" t="s">
        <v>133</v>
      </c>
      <c r="E6" s="1" t="s">
        <v>134</v>
      </c>
      <c r="F6" s="1" t="s">
        <v>135</v>
      </c>
      <c r="G6" s="1"/>
      <c r="H6" s="1"/>
      <c r="I6" s="1"/>
    </row>
    <row r="7" spans="1:9">
      <c r="A7" s="1"/>
      <c r="B7" s="1" t="s">
        <v>105</v>
      </c>
      <c r="C7" s="1"/>
      <c r="D7" s="1"/>
      <c r="E7" s="1"/>
      <c r="F7" s="1"/>
      <c r="G7" s="1"/>
      <c r="H7" s="1"/>
      <c r="I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Document-Registry</vt:lpstr>
      <vt:lpstr>Monthly-Report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Rester</dc:creator>
  <cp:lastModifiedBy>Rester</cp:lastModifiedBy>
  <dcterms:created xsi:type="dcterms:W3CDTF">2026-06-29T12:14:00Z</dcterms:created>
  <dcterms:modified xsi:type="dcterms:W3CDTF">2026-06-30T11:11:34Z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AC00A198F13B4F67A258142C7761F33F_11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