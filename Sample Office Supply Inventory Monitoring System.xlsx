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tabRatio="500"/>
  </bookViews>
  <sheets>
    <sheet name="Dashboard" sheetId="1" r:id="rId1"/>
    <sheet name="Inventory-Master" sheetId="3" r:id="rId2"/>
    <sheet name="Stock-Issuance" sheetId="7" r:id="rId3"/>
  </sheets>
  <definedNames>
    <definedName name="CategoryList">#REF!</definedName>
    <definedName name="DepartmentList">#REF!</definedName>
    <definedName name="ItemCategoryLookup">'Inventory-Master'!$B$3:$C$32</definedName>
    <definedName name="ItemFullTable">'Inventory-Master'!$A$3:$L$32</definedName>
    <definedName name="ItemList">'Inventory-Master'!$B$3:$B$32</definedName>
    <definedName name="MovementTypeList">#REF!</definedName>
    <definedName name="POStatusList">#REF!</definedName>
    <definedName name="PriorityList">#REF!</definedName>
    <definedName name="ReqStatusList">#REF!</definedName>
    <definedName name="SupplierList">#REF!</definedName>
    <definedName name="SupplierStatusList">#REF!</definedName>
    <definedName name="UnitList">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<sst xmlns="http://schemas.openxmlformats.org/spreadsheetml/2006/main" count="456" uniqueCount="180">
  <si>
    <t>Sample Office Supply Inventory Monitoring System</t>
  </si>
  <si>
    <t>Chart Support Data (auto-calculated — do not delete)</t>
  </si>
  <si>
    <t>Paper Products</t>
  </si>
  <si>
    <t>TOTAL ITEMS</t>
  </si>
  <si>
    <t>INVENTORY VALUE</t>
  </si>
  <si>
    <t>LOW STOCK ITEMS</t>
  </si>
  <si>
    <t>Writing Instruments</t>
  </si>
  <si>
    <t>Office Equipment</t>
  </si>
  <si>
    <t>Filing &amp; Storage</t>
  </si>
  <si>
    <t>Office Supply Issuance by Department</t>
  </si>
  <si>
    <t>Stationery</t>
  </si>
  <si>
    <t>Printing Supplies</t>
  </si>
  <si>
    <t>Category</t>
  </si>
  <si>
    <t>Inventory Table</t>
  </si>
  <si>
    <t>Department</t>
  </si>
  <si>
    <t>Sum of Quantity Issued</t>
  </si>
  <si>
    <t>Sum of Total Value</t>
  </si>
  <si>
    <t>Admin</t>
  </si>
  <si>
    <t>Finance</t>
  </si>
  <si>
    <t>HR</t>
  </si>
  <si>
    <t>IT</t>
  </si>
  <si>
    <t>Marketing</t>
  </si>
  <si>
    <t>Operations</t>
  </si>
  <si>
    <t>IT Accessories</t>
  </si>
  <si>
    <t>Procurement</t>
  </si>
  <si>
    <t>Packaging Materials</t>
  </si>
  <si>
    <t>Sales</t>
  </si>
  <si>
    <t>Grand Total</t>
  </si>
  <si>
    <t>Requests</t>
  </si>
  <si>
    <t>Low Stock Alert — Items Requiring Immediate Reorder</t>
  </si>
  <si>
    <t>Item ID</t>
  </si>
  <si>
    <t>Item Name</t>
  </si>
  <si>
    <t>Current Stock</t>
  </si>
  <si>
    <t>Reorder Level</t>
  </si>
  <si>
    <t>Suggested Reorder Qty</t>
  </si>
  <si>
    <t>Low Stock Reference</t>
  </si>
  <si>
    <t>Type or select an Item Name:</t>
  </si>
  <si>
    <t>Stapler</t>
  </si>
  <si>
    <t>Unit</t>
  </si>
  <si>
    <t>Unit Cost</t>
  </si>
  <si>
    <t>Stock Status</t>
  </si>
  <si>
    <t>Preferred Supplier</t>
  </si>
  <si>
    <t>Inventory Master List</t>
  </si>
  <si>
    <t>Stock Value</t>
  </si>
  <si>
    <t>Reorder Qty Suggested</t>
  </si>
  <si>
    <t>Last Restocked</t>
  </si>
  <si>
    <t>ITM-001</t>
  </si>
  <si>
    <t>Bond Paper A4</t>
  </si>
  <si>
    <t>Ream</t>
  </si>
  <si>
    <t>Prime Paper Solutions</t>
  </si>
  <si>
    <t>ITM-002</t>
  </si>
  <si>
    <t>Ballpen Black</t>
  </si>
  <si>
    <t>Box</t>
  </si>
  <si>
    <t>Signature Pens &amp; More</t>
  </si>
  <si>
    <t>ITM-003</t>
  </si>
  <si>
    <t>Piece</t>
  </si>
  <si>
    <t>Office Essentials Trading</t>
  </si>
  <si>
    <t>ITM-004</t>
  </si>
  <si>
    <t>Staple Wire</t>
  </si>
  <si>
    <t>ITM-005</t>
  </si>
  <si>
    <t>Pencil HB</t>
  </si>
  <si>
    <t>ITM-006</t>
  </si>
  <si>
    <t>Eraser</t>
  </si>
  <si>
    <t>ITM-007</t>
  </si>
  <si>
    <t>Highlighter Yellow</t>
  </si>
  <si>
    <t>ITM-008</t>
  </si>
  <si>
    <t>Permanent Marker Black</t>
  </si>
  <si>
    <t>ITM-009</t>
  </si>
  <si>
    <t>Whiteboard Marker Blue</t>
  </si>
  <si>
    <t>ITM-010</t>
  </si>
  <si>
    <t>Correction Tape</t>
  </si>
  <si>
    <t>ITM-011</t>
  </si>
  <si>
    <t>Glue Stick</t>
  </si>
  <si>
    <t>Pack</t>
  </si>
  <si>
    <t>ITM-012</t>
  </si>
  <si>
    <t>Scissors</t>
  </si>
  <si>
    <t>ITM-013</t>
  </si>
  <si>
    <t>Paper Clips</t>
  </si>
  <si>
    <t>ITM-014</t>
  </si>
  <si>
    <t>Binder Clips Medium</t>
  </si>
  <si>
    <t>ITM-015</t>
  </si>
  <si>
    <t>Rubber Bands</t>
  </si>
  <si>
    <t>ITM-016</t>
  </si>
  <si>
    <t>Manila Folder</t>
  </si>
  <si>
    <t>SecureFile Solutions</t>
  </si>
  <si>
    <t>ITM-017</t>
  </si>
  <si>
    <t>Expanding File Folder</t>
  </si>
  <si>
    <t>ITM-018</t>
  </si>
  <si>
    <t>Document Envelope</t>
  </si>
  <si>
    <t>ITM-019</t>
  </si>
  <si>
    <t>Notebook A5</t>
  </si>
  <si>
    <t>ITM-020</t>
  </si>
  <si>
    <t>Memo Pad</t>
  </si>
  <si>
    <t>ClearView Office Systems</t>
  </si>
  <si>
    <t>ITM-021</t>
  </si>
  <si>
    <t>Desk Calendar</t>
  </si>
  <si>
    <t>ITM-022</t>
  </si>
  <si>
    <t>Printer Ink Black</t>
  </si>
  <si>
    <t>PrintTech Supplies Inc.</t>
  </si>
  <si>
    <t>ITM-023</t>
  </si>
  <si>
    <t>Printer Ink Cyan</t>
  </si>
  <si>
    <t>ITM-024</t>
  </si>
  <si>
    <t>Printer Ink Magenta</t>
  </si>
  <si>
    <t>ITM-025</t>
  </si>
  <si>
    <t>Printer Ink Yellow</t>
  </si>
  <si>
    <t>ITM-026</t>
  </si>
  <si>
    <t>Toner Cartridge</t>
  </si>
  <si>
    <t>ITM-027</t>
  </si>
  <si>
    <t>USB Flash Drive 32GB</t>
  </si>
  <si>
    <t>TechLink Accessories</t>
  </si>
  <si>
    <t>ITM-028</t>
  </si>
  <si>
    <t>Label Stickers</t>
  </si>
  <si>
    <t>PackRight Enterprises</t>
  </si>
  <si>
    <t>ITM-029</t>
  </si>
  <si>
    <t>Packaging Tape</t>
  </si>
  <si>
    <t>Roll</t>
  </si>
  <si>
    <t>ITM-030</t>
  </si>
  <si>
    <t>Calculator</t>
  </si>
  <si>
    <t>Stock Issuance Log</t>
  </si>
  <si>
    <t>Issuance ID</t>
  </si>
  <si>
    <t>Date</t>
  </si>
  <si>
    <t>Item</t>
  </si>
  <si>
    <t>Quantity Issued</t>
  </si>
  <si>
    <t>Total Value</t>
  </si>
  <si>
    <t>Issued By</t>
  </si>
  <si>
    <t>Purpose / Remarks</t>
  </si>
  <si>
    <t>ISS-0001</t>
  </si>
  <si>
    <t>Lorna Pascual</t>
  </si>
  <si>
    <t>Event/meeting preparation</t>
  </si>
  <si>
    <t>ISS-0002</t>
  </si>
  <si>
    <t>Jun Bautista</t>
  </si>
  <si>
    <t>Replacement of damaged item</t>
  </si>
  <si>
    <t>ISS-0003</t>
  </si>
  <si>
    <t>Ferdie Aguilar</t>
  </si>
  <si>
    <t>ISS-0004</t>
  </si>
  <si>
    <t>ISS-0005</t>
  </si>
  <si>
    <t>ISS-0006</t>
  </si>
  <si>
    <t>Project-specific requirement</t>
  </si>
  <si>
    <t>ISS-0007</t>
  </si>
  <si>
    <t>Routine department replenishment</t>
  </si>
  <si>
    <t>ISS-0008</t>
  </si>
  <si>
    <t>ISS-0009</t>
  </si>
  <si>
    <t>Monthly office supply allocation</t>
  </si>
  <si>
    <t>ISS-0010</t>
  </si>
  <si>
    <t>ISS-0011</t>
  </si>
  <si>
    <t>ISS-0012</t>
  </si>
  <si>
    <t>ISS-0013</t>
  </si>
  <si>
    <t>ISS-0014</t>
  </si>
  <si>
    <t>ISS-0015</t>
  </si>
  <si>
    <t>ISS-0016</t>
  </si>
  <si>
    <t>ISS-0017</t>
  </si>
  <si>
    <t>ISS-0018</t>
  </si>
  <si>
    <t>New employee onboarding kit</t>
  </si>
  <si>
    <t>ISS-0019</t>
  </si>
  <si>
    <t>ISS-0020</t>
  </si>
  <si>
    <t>ISS-0021</t>
  </si>
  <si>
    <t>ISS-0022</t>
  </si>
  <si>
    <t>ISS-0023</t>
  </si>
  <si>
    <t>ISS-0024</t>
  </si>
  <si>
    <t>ISS-0025</t>
  </si>
  <si>
    <t>ISS-0026</t>
  </si>
  <si>
    <t>ISS-0027</t>
  </si>
  <si>
    <t>ISS-0028</t>
  </si>
  <si>
    <t>ISS-0029</t>
  </si>
  <si>
    <t>ISS-0030</t>
  </si>
  <si>
    <t>ISS-0031</t>
  </si>
  <si>
    <t>ISS-0032</t>
  </si>
  <si>
    <t>ISS-0033</t>
  </si>
  <si>
    <t>ISS-0034</t>
  </si>
  <si>
    <t>ISS-0035</t>
  </si>
  <si>
    <t>ISS-0036</t>
  </si>
  <si>
    <t>ISS-0037</t>
  </si>
  <si>
    <t>ISS-0038</t>
  </si>
  <si>
    <t>ISS-0039</t>
  </si>
  <si>
    <t>ISS-0040</t>
  </si>
  <si>
    <t>ISS-0041</t>
  </si>
  <si>
    <t>ISS-0042</t>
  </si>
  <si>
    <t>ISS-0043</t>
  </si>
  <si>
    <t>ISS-0044</t>
  </si>
  <si>
    <t>ISS-0045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</si>
</sst>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 dd&quot;, &quot;yyyy"/>
    <numFmt numFmtId="177" formatCode="&quot;₱&quot;#,##0.00"/>
    <numFmt numFmtId="178" formatCode="&quot;₱&quot;#,##0"/>
  </numFmts>
  <fonts count="36">
    <font>
      <sz val="11"/>
      <color theme="1"/>
      <name val="Calibri"/>
      <charset val="1"/>
    </font>
    <font>
      <b/>
      <sz val="18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262626"/>
      <name val="Arial"/>
      <charset val="1"/>
    </font>
    <font>
      <i/>
      <sz val="9"/>
      <color rgb="FF808080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8"/>
      <color rgb="FFFFFFFF"/>
      <name val="Arial"/>
      <charset val="1"/>
    </font>
    <font>
      <b/>
      <sz val="12"/>
      <color theme="1"/>
      <name val="Calibri"/>
      <charset val="1"/>
    </font>
    <font>
      <b/>
      <sz val="10"/>
      <color rgb="FFFFFFFF"/>
      <name val="Calibri"/>
      <charset val="1"/>
    </font>
    <font>
      <sz val="10"/>
      <color rgb="FF262626"/>
      <name val="Calibri"/>
      <charset val="1"/>
    </font>
    <font>
      <b/>
      <sz val="12"/>
      <color rgb="FF9C0006"/>
      <name val="Arial"/>
      <charset val="1"/>
    </font>
    <font>
      <i/>
      <sz val="9"/>
      <color rgb="FF808080"/>
      <name val="Calibri"/>
      <charset val="1"/>
    </font>
    <font>
      <b/>
      <sz val="12"/>
      <color rgb="FF1F3864"/>
      <name val="Arial"/>
      <charset val="1"/>
    </font>
    <font>
      <b/>
      <sz val="10"/>
      <color rgb="FF262626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3864"/>
        <bgColor rgb="FF262626"/>
      </patternFill>
    </fill>
    <fill>
      <patternFill patternType="solid">
        <fgColor rgb="FF2E75B6"/>
        <bgColor rgb="FF0066CC"/>
      </patternFill>
    </fill>
    <fill>
      <patternFill patternType="solid">
        <fgColor rgb="FF9C0006"/>
        <bgColor rgb="FF800000"/>
      </patternFill>
    </fill>
    <fill>
      <patternFill patternType="solid">
        <fgColor rgb="FFFFE699"/>
        <bgColor rgb="FFFCE4D6"/>
      </patternFill>
    </fill>
    <fill>
      <patternFill patternType="solid">
        <fgColor rgb="FFD9E2F3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theme="3"/>
      </left>
      <right/>
      <top style="medium">
        <color theme="3"/>
      </top>
      <bottom style="medium">
        <color theme="3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/>
    <xf numFmtId="44" fontId="15" fillId="0" borderId="0"/>
    <xf numFmtId="9" fontId="15" fillId="0" borderId="0"/>
    <xf numFmtId="41" fontId="15" fillId="0" borderId="0"/>
    <xf numFmtId="42" fontId="15" fillId="0" borderId="0"/>
    <xf numFmtId="0" fontId="16" fillId="0" borderId="0">
      <alignment vertical="center"/>
    </xf>
    <xf numFmtId="0" fontId="17" fillId="0" borderId="0">
      <alignment vertical="center"/>
    </xf>
    <xf numFmtId="0" fontId="18" fillId="7" borderId="5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6">
      <alignment vertical="center"/>
    </xf>
    <xf numFmtId="0" fontId="23" fillId="0" borderId="6">
      <alignment vertical="center"/>
    </xf>
    <xf numFmtId="0" fontId="24" fillId="0" borderId="7">
      <alignment vertical="center"/>
    </xf>
    <xf numFmtId="0" fontId="24" fillId="0" borderId="0">
      <alignment vertical="center"/>
    </xf>
    <xf numFmtId="0" fontId="25" fillId="8" borderId="8">
      <alignment vertical="center"/>
    </xf>
    <xf numFmtId="0" fontId="26" fillId="9" borderId="9">
      <alignment vertical="center"/>
    </xf>
    <xf numFmtId="0" fontId="27" fillId="9" borderId="8">
      <alignment vertical="center"/>
    </xf>
    <xf numFmtId="0" fontId="28" fillId="10" borderId="10">
      <alignment vertical="center"/>
    </xf>
    <xf numFmtId="0" fontId="29" fillId="0" borderId="11">
      <alignment vertical="center"/>
    </xf>
    <xf numFmtId="0" fontId="30" fillId="0" borderId="12">
      <alignment vertical="center"/>
    </xf>
    <xf numFmtId="0" fontId="31" fillId="11" borderId="0">
      <alignment vertical="center"/>
    </xf>
    <xf numFmtId="0" fontId="32" fillId="12" borderId="0">
      <alignment vertical="center"/>
    </xf>
    <xf numFmtId="0" fontId="33" fillId="13" borderId="0">
      <alignment vertical="center"/>
    </xf>
    <xf numFmtId="0" fontId="34" fillId="14" borderId="0">
      <alignment vertical="center"/>
    </xf>
    <xf numFmtId="0" fontId="35" fillId="15" borderId="0">
      <alignment vertical="center"/>
    </xf>
    <xf numFmtId="0" fontId="35" fillId="16" borderId="0">
      <alignment vertical="center"/>
    </xf>
    <xf numFmtId="0" fontId="34" fillId="17" borderId="0">
      <alignment vertical="center"/>
    </xf>
    <xf numFmtId="0" fontId="34" fillId="18" borderId="0">
      <alignment vertical="center"/>
    </xf>
    <xf numFmtId="0" fontId="35" fillId="19" borderId="0">
      <alignment vertical="center"/>
    </xf>
    <xf numFmtId="0" fontId="35" fillId="20" borderId="0">
      <alignment vertical="center"/>
    </xf>
    <xf numFmtId="0" fontId="34" fillId="21" borderId="0">
      <alignment vertical="center"/>
    </xf>
    <xf numFmtId="0" fontId="34" fillId="22" borderId="0">
      <alignment vertical="center"/>
    </xf>
    <xf numFmtId="0" fontId="35" fillId="23" borderId="0">
      <alignment vertical="center"/>
    </xf>
    <xf numFmtId="0" fontId="35" fillId="24" borderId="0">
      <alignment vertical="center"/>
    </xf>
    <xf numFmtId="0" fontId="34" fillId="25" borderId="0">
      <alignment vertical="center"/>
    </xf>
    <xf numFmtId="0" fontId="34" fillId="26" borderId="0">
      <alignment vertical="center"/>
    </xf>
    <xf numFmtId="0" fontId="35" fillId="27" borderId="0">
      <alignment vertical="center"/>
    </xf>
    <xf numFmtId="0" fontId="35" fillId="28" borderId="0">
      <alignment vertical="center"/>
    </xf>
    <xf numFmtId="0" fontId="34" fillId="29" borderId="0">
      <alignment vertical="center"/>
    </xf>
    <xf numFmtId="0" fontId="34" fillId="30" borderId="0">
      <alignment vertical="center"/>
    </xf>
    <xf numFmtId="0" fontId="35" fillId="31" borderId="0">
      <alignment vertical="center"/>
    </xf>
    <xf numFmtId="0" fontId="35" fillId="32" borderId="0">
      <alignment vertical="center"/>
    </xf>
    <xf numFmtId="0" fontId="34" fillId="33" borderId="0">
      <alignment vertical="center"/>
    </xf>
    <xf numFmtId="0" fontId="34" fillId="34" borderId="0">
      <alignment vertical="center"/>
    </xf>
    <xf numFmtId="0" fontId="35" fillId="35" borderId="0">
      <alignment vertical="center"/>
    </xf>
    <xf numFmtId="0" fontId="35" fillId="36" borderId="0">
      <alignment vertical="center"/>
    </xf>
    <xf numFmtId="0" fontId="34" fillId="37" borderId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77" fontId="3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top"/>
    </xf>
    <xf numFmtId="0" fontId="4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0" fontId="9" fillId="3" borderId="1" xfId="0" applyFont="1" applyFill="1" applyBorder="1" applyAlignment="1">
      <alignment horizontal="right" vertical="center" wrapText="1"/>
    </xf>
    <xf numFmtId="0" fontId="11" fillId="0" borderId="0" xfId="0" applyFont="1"/>
    <xf numFmtId="0" fontId="12" fillId="0" borderId="0" xfId="0" applyFont="1" applyAlignment="1">
      <alignment vertical="top" wrapText="1"/>
    </xf>
    <xf numFmtId="0" fontId="13" fillId="0" borderId="0" xfId="0" applyFont="1"/>
    <xf numFmtId="0" fontId="14" fillId="0" borderId="0" xfId="0" applyFont="1"/>
    <xf numFmtId="0" fontId="0" fillId="5" borderId="1" xfId="0" applyFill="1" applyBorder="1"/>
    <xf numFmtId="0" fontId="14" fillId="0" borderId="0" xfId="0" applyFont="1" applyAlignment="1"/>
    <xf numFmtId="0" fontId="3" fillId="0" borderId="0" xfId="0" applyFont="1"/>
    <xf numFmtId="0" fontId="3" fillId="0" borderId="1" xfId="0" applyFont="1" applyBorder="1"/>
    <xf numFmtId="0" fontId="14" fillId="6" borderId="1" xfId="0" applyFont="1" applyFill="1" applyBorder="1"/>
    <xf numFmtId="0" fontId="4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7">
    <dxf>
      <font>
        <name val="Calibri"/>
        <scheme val="none"/>
        <charset val="1"/>
        <family val="0"/>
        <b val="1"/>
        <i val="0"/>
        <strike val="0"/>
        <u val="none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1"/>
        <i val="0"/>
        <strike val="0"/>
        <u val="none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1"/>
        <i val="0"/>
        <strike val="0"/>
        <u val="none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1"/>
        <i val="0"/>
        <strike val="0"/>
        <u val="none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1"/>
        <i val="0"/>
        <strike val="0"/>
        <u val="none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ont>
        <name val="Calibri"/>
        <scheme val="none"/>
        <charset val="1"/>
        <family val="0"/>
        <b val="1"/>
        <i val="0"/>
        <strike val="0"/>
        <u val="none"/>
        <sz val="10"/>
        <color rgb="FFFFFFFF"/>
      </font>
      <fill>
        <patternFill patternType="solid">
          <fgColor rgb="FF0066CC"/>
          <bgColor rgb="FF2E75B6"/>
        </patternFill>
      </fill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alignment horizontal="right"/>
    </dxf>
    <dxf>
      <alignment horizontal="right"/>
    </dxf>
    <dxf>
      <alignment horizontal="left" wrapText="1"/>
    </dxf>
    <dxf>
      <alignment horizontal="right" wrapText="1"/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left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z val="10"/>
        <color rgb="FF262626"/>
      </font>
      <alignment horizontal="center" vertical="center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scheme val="none"/>
        <charset val="1"/>
        <family val="0"/>
        <sz val="1"/>
        <color rgb="FFFFFFFF"/>
      </font>
    </dxf>
    <dxf>
      <font>
        <b val="1"/>
        <color rgb="FF9C0006"/>
      </font>
      <fill>
        <patternFill patternType="solid">
          <bgColor rgb="FFFFC7CE"/>
        </patternFill>
      </fill>
    </dxf>
    <dxf>
      <font>
        <b val="1"/>
        <color rgb="FF7F6000"/>
      </font>
      <fill>
        <patternFill patternType="solid">
          <bgColor rgb="FFFFE699"/>
        </patternFill>
      </fill>
    </dxf>
    <dxf>
      <font>
        <b val="1"/>
        <color rgb="FF375623"/>
      </font>
      <fill>
        <patternFill patternType="solid">
          <bgColor rgb="FFC6E0B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7F6000"/>
      <rgbColor rgb="00800080"/>
      <rgbColor rgb="00008080"/>
      <rgbColor rgb="00BFBFBF"/>
      <rgbColor rgb="00808080"/>
      <rgbColor rgb="009999FF"/>
      <rgbColor rgb="00993366"/>
      <rgbColor rgb="00FCE4D6"/>
      <rgbColor rgb="00D9E2F3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0B4"/>
      <rgbColor rgb="00FFE699"/>
      <rgbColor rgb="0099CCFF"/>
      <rgbColor rgb="00FF99CC"/>
      <rgbColor rgb="00CC99FF"/>
      <rgbColor rgb="00FFC7CE"/>
      <rgbColor rgb="002E75B6"/>
      <rgbColor rgb="0033CCCC"/>
      <rgbColor rgb="0099CC00"/>
      <rgbColor rgb="00FFCC00"/>
      <rgbColor rgb="00BF8F00"/>
      <rgbColor rgb="00C55A11"/>
      <rgbColor rgb="00666699"/>
      <rgbColor rgb="00B3B3B3"/>
      <rgbColor rgb="001F3864"/>
      <rgbColor rgb="00548235"/>
      <rgbColor rgb="00003300"/>
      <rgbColor rgb="00375623"/>
      <rgbColor rgb="00993300"/>
      <rgbColor rgb="00993366"/>
      <rgbColor rgb="005B2C6F"/>
      <rgbColor rgb="00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  <a:r>
              <a:t>Inventory Value by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Inventory 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Dashboard!$A$10:$A$17</c:f>
              <c:strCache>
                <c:ptCount val="8"/>
                <c:pt idx="0">
                  <c:v>Writing Instruments</c:v>
                </c:pt>
                <c:pt idx="1">
                  <c:v>Office Equipment</c:v>
                </c:pt>
                <c:pt idx="2">
                  <c:v>Filing &amp; Storage</c:v>
                </c:pt>
                <c:pt idx="3">
                  <c:v>Paper Products</c:v>
                </c:pt>
                <c:pt idx="4">
                  <c:v>Stationery</c:v>
                </c:pt>
                <c:pt idx="5">
                  <c:v>Printing Supplies</c:v>
                </c:pt>
                <c:pt idx="6">
                  <c:v>IT Accessories</c:v>
                </c:pt>
                <c:pt idx="7">
                  <c:v>Packaging Materials</c:v>
                </c:pt>
              </c:strCache>
            </c:strRef>
          </c:cat>
          <c:val>
            <c:numRef>
              <c:f>Dashboard!$B$10:$B$17</c:f>
              <c:numCache>
                <c:formatCode>General</c:formatCode>
                <c:ptCount val="8"/>
                <c:pt idx="0">
                  <c:v>7855</c:v>
                </c:pt>
                <c:pt idx="1">
                  <c:v>13650</c:v>
                </c:pt>
                <c:pt idx="2">
                  <c:v>18000</c:v>
                </c:pt>
                <c:pt idx="3">
                  <c:v>1050</c:v>
                </c:pt>
                <c:pt idx="4">
                  <c:v>1175</c:v>
                </c:pt>
                <c:pt idx="5">
                  <c:v>23700</c:v>
                </c:pt>
                <c:pt idx="6">
                  <c:v>1000</c:v>
                </c:pt>
                <c:pt idx="7">
                  <c:v>5800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42337326"/>
        <c:axId val="507653163"/>
      </c:barChart>
      <c:catAx>
        <c:axId val="14233732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50000"/>
                  <a:lumOff val="50000"/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507653163"/>
        <c:crosses val="autoZero"/>
        <c:auto val="1"/>
        <c:lblAlgn val="ctr"/>
        <c:lblOffset val="100"/>
        <c:noMultiLvlLbl val="0"/>
      </c:catAx>
      <c:valAx>
        <c:axId val="5076531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42337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Microsoft YaHei" panose="020B0503020204020204" pitchFamily="34" charset="-122"/>
              <a:ea typeface="Microsoft YaHei" panose="020B0503020204020204" pitchFamily="34" charset="-122"/>
              <a:cs typeface="Microsoft YaHei" panose="020B0503020204020204" pitchFamily="34" charset="-122"/>
              <a:sym typeface="Microsoft YaHei" panose="020B0503020204020204" pitchFamily="3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f52104-2965-4a5a-83bc-03c5feb508a1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>
      <a:outerShdw blurRad="63500" dist="37357" dir="2700000" sx="0" sy="0" rotWithShape="0">
        <a:scrgbClr r="0" g="0" b="0"/>
      </a:outerShdw>
    </a:effectLst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Office Supply Inventory Monitoring System.xlsx]Dashboard!PivotTable2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Dashboard!$J$9</c:f>
              <c:strCache>
                <c:ptCount val="1"/>
                <c:pt idx="0">
                  <c:v>Sum of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Dashboard!$H$10:$H$18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Procurement</c:v>
                </c:pt>
                <c:pt idx="7">
                  <c:v>Sales</c:v>
                </c:pt>
              </c:strCache>
            </c:strRef>
          </c:cat>
          <c:val>
            <c:numRef>
              <c:f>Dashboard!$J$10:$J$18</c:f>
              <c:numCache>
                <c:formatCode>General</c:formatCode>
                <c:ptCount val="8"/>
                <c:pt idx="0">
                  <c:v>18225</c:v>
                </c:pt>
                <c:pt idx="1">
                  <c:v>25670</c:v>
                </c:pt>
                <c:pt idx="2">
                  <c:v>1450</c:v>
                </c:pt>
                <c:pt idx="3">
                  <c:v>6375</c:v>
                </c:pt>
                <c:pt idx="4">
                  <c:v>3515</c:v>
                </c:pt>
                <c:pt idx="5">
                  <c:v>12615</c:v>
                </c:pt>
                <c:pt idx="6">
                  <c:v>13005</c:v>
                </c:pt>
                <c:pt idx="7">
                  <c:v>7359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9264805"/>
        <c:axId val="261497552"/>
      </c:barChart>
      <c:lineChart>
        <c:grouping val="standard"/>
        <c:varyColors val="0"/>
        <c:ser>
          <c:idx val="0"/>
          <c:order val="0"/>
          <c:tx>
            <c:strRef>
              <c:f>Dashboard!$I$9</c:f>
              <c:strCache>
                <c:ptCount val="1"/>
                <c:pt idx="0">
                  <c:v>Sum of Quantity Issued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Dashboard!$H$10:$H$18</c:f>
              <c:strCache>
                <c:ptCount val="8"/>
                <c:pt idx="0">
                  <c:v>Admin</c:v>
                </c:pt>
                <c:pt idx="1">
                  <c:v>Finance</c:v>
                </c:pt>
                <c:pt idx="2">
                  <c:v>HR</c:v>
                </c:pt>
                <c:pt idx="3">
                  <c:v>IT</c:v>
                </c:pt>
                <c:pt idx="4">
                  <c:v>Marketing</c:v>
                </c:pt>
                <c:pt idx="5">
                  <c:v>Operations</c:v>
                </c:pt>
                <c:pt idx="6">
                  <c:v>Procurement</c:v>
                </c:pt>
                <c:pt idx="7">
                  <c:v>Sales</c:v>
                </c:pt>
              </c:strCache>
            </c:strRef>
          </c:cat>
          <c:val>
            <c:numRef>
              <c:f>Dashboard!$I$10:$I$18</c:f>
              <c:numCache>
                <c:formatCode>General</c:formatCode>
                <c:ptCount val="8"/>
                <c:pt idx="0">
                  <c:v>41</c:v>
                </c:pt>
                <c:pt idx="1">
                  <c:v>78</c:v>
                </c:pt>
                <c:pt idx="2">
                  <c:v>20</c:v>
                </c:pt>
                <c:pt idx="3">
                  <c:v>76</c:v>
                </c:pt>
                <c:pt idx="4">
                  <c:v>50</c:v>
                </c:pt>
                <c:pt idx="5">
                  <c:v>96</c:v>
                </c:pt>
                <c:pt idx="6">
                  <c:v>44</c:v>
                </c:pt>
                <c:pt idx="7">
                  <c:v>32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17889437"/>
        <c:axId val="631987034"/>
      </c:lineChart>
      <c:catAx>
        <c:axId val="3992648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1497552"/>
        <c:crosses val="autoZero"/>
        <c:auto val="1"/>
        <c:lblAlgn val="ctr"/>
        <c:lblOffset val="100"/>
        <c:noMultiLvlLbl val="0"/>
      </c:catAx>
      <c:valAx>
        <c:axId val="26149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264805"/>
        <c:crosses val="autoZero"/>
        <c:crossBetween val="between"/>
      </c:valAx>
      <c:catAx>
        <c:axId val="817889437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1987034"/>
        <c:crosses val="autoZero"/>
        <c:auto val="1"/>
        <c:lblAlgn val="ctr"/>
        <c:lblOffset val="100"/>
        <c:noMultiLvlLbl val="0"/>
      </c:catAx>
      <c:valAx>
        <c:axId val="63198703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889437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109220</xdr:colOff>
      <xdr:row>8</xdr:row>
      <xdr:rowOff>63500</xdr:rowOff>
    </xdr:from>
    <xdr:to>
      <xdr:col>6</xdr:col>
      <xdr:colOff>477520</xdr:colOff>
      <xdr:row>22</xdr:row>
      <xdr:rowOff>143510</xdr:rowOff>
    </xdr:to>
    <xdr:graphicFrame>
      <xdr:nvGraphicFramePr>
        <xdr:cNvPr id="5" name="Chart 4" descr="7b0a202020202263686172745265734964223a20223230343735343234220a7d0a"/>
        <xdr:cNvGraphicFramePr/>
      </xdr:nvGraphicFramePr>
      <xdr:xfrm>
        <a:off x="3865880" y="1873250"/>
        <a:ext cx="4696460" cy="2747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8255</xdr:colOff>
      <xdr:row>19</xdr:row>
      <xdr:rowOff>164465</xdr:rowOff>
    </xdr:from>
    <xdr:to>
      <xdr:col>10</xdr:col>
      <xdr:colOff>787400</xdr:colOff>
      <xdr:row>34</xdr:row>
      <xdr:rowOff>73025</xdr:rowOff>
    </xdr:to>
    <xdr:graphicFrame>
      <xdr:nvGraphicFramePr>
        <xdr:cNvPr id="7" name="Chart 6"/>
        <xdr:cNvGraphicFramePr/>
      </xdr:nvGraphicFramePr>
      <xdr:xfrm>
        <a:off x="9053195" y="406971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3.6667708333" refreshedBy="Rester" recordCount="45">
  <cacheSource type="worksheet">
    <worksheetSource name="tbl_StockIssuance"/>
  </cacheSource>
  <cacheFields count="10">
    <cacheField name="Issuance ID" numFmtId="0">
      <sharedItems count="45">
        <s v="ISS-0001"/>
        <s v="ISS-0002"/>
        <s v="ISS-0003"/>
        <s v="ISS-0004"/>
        <s v="ISS-0005"/>
        <s v="ISS-0006"/>
        <s v="ISS-0007"/>
        <s v="ISS-0008"/>
        <s v="ISS-0009"/>
        <s v="ISS-0010"/>
        <s v="ISS-0011"/>
        <s v="ISS-0012"/>
        <s v="ISS-0013"/>
        <s v="ISS-0014"/>
        <s v="ISS-0015"/>
        <s v="ISS-0016"/>
        <s v="ISS-0017"/>
        <s v="ISS-0018"/>
        <s v="ISS-0019"/>
        <s v="ISS-0020"/>
        <s v="ISS-0021"/>
        <s v="ISS-0022"/>
        <s v="ISS-0023"/>
        <s v="ISS-0024"/>
        <s v="ISS-0025"/>
        <s v="ISS-0026"/>
        <s v="ISS-0027"/>
        <s v="ISS-0028"/>
        <s v="ISS-0029"/>
        <s v="ISS-0030"/>
        <s v="ISS-0031"/>
        <s v="ISS-0032"/>
        <s v="ISS-0033"/>
        <s v="ISS-0034"/>
        <s v="ISS-0035"/>
        <s v="ISS-0036"/>
        <s v="ISS-0037"/>
        <s v="ISS-0038"/>
        <s v="ISS-0039"/>
        <s v="ISS-0040"/>
        <s v="ISS-0041"/>
        <s v="ISS-0042"/>
        <s v="ISS-0043"/>
        <s v="ISS-0044"/>
        <s v="ISS-0045"/>
      </sharedItems>
    </cacheField>
    <cacheField name="Date" numFmtId="176">
      <sharedItems containsSemiMixedTypes="0" containsString="0" containsNonDate="0" containsDate="1" minDate="2026-01-05T00:00:00" maxDate="2026-06-28T00:00:00" count="40">
        <d v="2026-01-08T00:00:00"/>
        <d v="2026-02-28T00:00:00"/>
        <d v="2026-03-13T00:00:00"/>
        <d v="2026-04-06T00:00:00"/>
        <d v="2026-05-14T00:00:00"/>
        <d v="2026-06-04T00:00:00"/>
        <d v="2026-01-14T00:00:00"/>
        <d v="2026-02-22T00:00:00"/>
        <d v="2026-03-24T00:00:00"/>
        <d v="2026-04-11T00:00:00"/>
        <d v="2026-05-22T00:00:00"/>
        <d v="2026-06-27T00:00:00"/>
        <d v="2026-01-26T00:00:00"/>
        <d v="2026-03-10T00:00:00"/>
        <d v="2026-04-10T00:00:00"/>
        <d v="2026-05-08T00:00:00"/>
        <d v="2026-06-19T00:00:00"/>
        <d v="2026-01-05T00:00:00"/>
        <d v="2026-02-06T00:00:00"/>
        <d v="2026-03-30T00:00:00"/>
        <d v="2026-04-22T00:00:00"/>
        <d v="2026-05-29T00:00:00"/>
        <d v="2026-06-28T00:00:00"/>
        <d v="2026-01-09T00:00:00"/>
        <d v="2026-02-03T00:00:00"/>
        <d v="2026-03-11T00:00:00"/>
        <d v="2026-04-13T00:00:00"/>
        <d v="2026-01-16T00:00:00"/>
        <d v="2026-02-18T00:00:00"/>
        <d v="2026-03-14T00:00:00"/>
        <d v="2026-05-20T00:00:00"/>
        <d v="2026-06-22T00:00:00"/>
        <d v="2026-01-06T00:00:00"/>
        <d v="2026-02-15T00:00:00"/>
        <d v="2026-03-09T00:00:00"/>
        <d v="2026-04-18T00:00:00"/>
        <d v="2026-05-25T00:00:00"/>
        <d v="2026-01-22T00:00:00"/>
        <d v="2026-02-25T00:00:00"/>
        <d v="2026-03-04T00:00:00"/>
      </sharedItems>
    </cacheField>
    <cacheField name="Item" numFmtId="0">
      <sharedItems count="24">
        <s v="Bond Paper A4"/>
        <s v="Stapler"/>
        <s v="Printer Ink Black"/>
        <s v="Notebook A5"/>
        <s v="Scissors"/>
        <s v="Paper Clips"/>
        <s v="Calculator"/>
        <s v="Packaging Tape"/>
        <s v="Highlighter Yellow"/>
        <s v="Expanding File Folder"/>
        <s v="Permanent Marker Black"/>
        <s v="Manila Folder"/>
        <s v="Desk Calendar"/>
        <s v="Toner Cartridge"/>
        <s v="Label Stickers"/>
        <s v="Printer Ink Yellow"/>
        <s v="Printer Ink Cyan"/>
        <s v="Glue Stick"/>
        <s v="Binder Clips Medium"/>
        <s v="Printer Ink Magenta"/>
        <s v="Document Envelope"/>
        <s v="Ballpen Black"/>
        <s v="USB Flash Drive 32GB"/>
        <s v="Staple Wire"/>
      </sharedItems>
    </cacheField>
    <cacheField name="Category" numFmtId="0">
      <sharedItems count="8">
        <s v="Paper Products"/>
        <s v="Office Equipment"/>
        <s v="Printing Supplies"/>
        <s v="Packaging Materials"/>
        <s v="Writing Instruments"/>
        <s v="Filing &amp; Storage"/>
        <s v="Stationery"/>
        <s v="IT Accessories"/>
      </sharedItems>
    </cacheField>
    <cacheField name="Department" numFmtId="0">
      <sharedItems count="8">
        <s v="IT"/>
        <s v="Marketing"/>
        <s v="Operations"/>
        <s v="HR"/>
        <s v="Sales"/>
        <s v="Finance"/>
        <s v="Procurement"/>
        <s v="Admin"/>
      </sharedItems>
    </cacheField>
    <cacheField name="Quantity Issued" numFmtId="0">
      <sharedItems containsSemiMixedTypes="0" containsString="0" containsNumber="1" containsInteger="1" minValue="1" maxValue="20" count="8">
        <n v="15"/>
        <n v="10"/>
        <n v="1"/>
        <n v="8"/>
        <n v="3"/>
        <n v="20"/>
        <n v="2"/>
        <n v="5"/>
      </sharedItems>
    </cacheField>
    <cacheField name="Unit Cost" numFmtId="177">
      <sharedItems containsSemiMixedTypes="0" containsString="0" containsNumber="1" containsInteger="1" minValue="10" maxValue="3000" count="17">
        <n v="130"/>
        <n v="35"/>
        <n v="100"/>
        <n v="150"/>
        <n v="10"/>
        <n v="400"/>
        <n v="40"/>
        <n v="48"/>
        <n v="15"/>
        <n v="380"/>
        <n v="25"/>
        <n v="3000"/>
        <n v="200"/>
        <n v="45"/>
        <n v="750"/>
        <n v="70"/>
        <n v="600"/>
      </sharedItems>
    </cacheField>
    <cacheField name="Total Value" numFmtId="177">
      <sharedItems containsSemiMixedTypes="0" containsString="0" containsNumber="1" containsInteger="1" minValue="20" maxValue="12000" count="32">
        <n v="1950"/>
        <n v="350"/>
        <n v="100"/>
        <n v="150"/>
        <n v="280"/>
        <n v="1300"/>
        <n v="4000"/>
        <n v="320"/>
        <n v="105"/>
        <n v="1040"/>
        <n v="3000"/>
        <n v="144"/>
        <n v="300"/>
        <n v="45"/>
        <n v="7600"/>
        <n v="960"/>
        <n v="50"/>
        <n v="3040"/>
        <n v="500"/>
        <n v="120"/>
        <n v="675"/>
        <n v="2000"/>
        <n v="5700"/>
        <n v="9000"/>
        <n v="11250"/>
        <n v="1050"/>
        <n v="12000"/>
        <n v="25"/>
        <n v="650"/>
        <n v="800"/>
        <n v="20"/>
        <n v="1200"/>
      </sharedItems>
    </cacheField>
    <cacheField name="Issued By" numFmtId="0">
      <sharedItems count="3">
        <s v="Lorna Pascual"/>
        <s v="Jun Bautista"/>
        <s v="Ferdie Aguilar"/>
      </sharedItems>
    </cacheField>
    <cacheField name="Purpose / Remarks" numFmtId="0">
      <sharedItems count="6">
        <s v="Event/meeting preparation"/>
        <s v="Replacement of damaged item"/>
        <s v="Project-specific requirement"/>
        <s v="Routine department replenishment"/>
        <s v="Monthly office supply allocation"/>
        <s v="New employee onboarding ki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</r>
  <r>
    <x v="2"/>
    <x v="2"/>
    <x v="2"/>
    <x v="2"/>
    <x v="2"/>
    <x v="2"/>
    <x v="2"/>
    <x v="2"/>
    <x v="2"/>
    <x v="0"/>
  </r>
  <r>
    <x v="3"/>
    <x v="3"/>
    <x v="3"/>
    <x v="0"/>
    <x v="1"/>
    <x v="2"/>
    <x v="3"/>
    <x v="3"/>
    <x v="2"/>
    <x v="1"/>
  </r>
  <r>
    <x v="4"/>
    <x v="4"/>
    <x v="4"/>
    <x v="1"/>
    <x v="2"/>
    <x v="0"/>
    <x v="4"/>
    <x v="3"/>
    <x v="1"/>
    <x v="1"/>
  </r>
  <r>
    <x v="5"/>
    <x v="5"/>
    <x v="5"/>
    <x v="1"/>
    <x v="0"/>
    <x v="3"/>
    <x v="1"/>
    <x v="4"/>
    <x v="2"/>
    <x v="2"/>
  </r>
  <r>
    <x v="6"/>
    <x v="6"/>
    <x v="0"/>
    <x v="0"/>
    <x v="0"/>
    <x v="1"/>
    <x v="0"/>
    <x v="5"/>
    <x v="0"/>
    <x v="3"/>
  </r>
  <r>
    <x v="7"/>
    <x v="7"/>
    <x v="6"/>
    <x v="1"/>
    <x v="2"/>
    <x v="1"/>
    <x v="5"/>
    <x v="6"/>
    <x v="1"/>
    <x v="3"/>
  </r>
  <r>
    <x v="8"/>
    <x v="8"/>
    <x v="7"/>
    <x v="3"/>
    <x v="1"/>
    <x v="3"/>
    <x v="6"/>
    <x v="7"/>
    <x v="1"/>
    <x v="4"/>
  </r>
  <r>
    <x v="9"/>
    <x v="9"/>
    <x v="5"/>
    <x v="1"/>
    <x v="1"/>
    <x v="4"/>
    <x v="1"/>
    <x v="8"/>
    <x v="2"/>
    <x v="4"/>
  </r>
  <r>
    <x v="10"/>
    <x v="10"/>
    <x v="5"/>
    <x v="1"/>
    <x v="3"/>
    <x v="3"/>
    <x v="1"/>
    <x v="4"/>
    <x v="0"/>
    <x v="1"/>
  </r>
  <r>
    <x v="11"/>
    <x v="11"/>
    <x v="0"/>
    <x v="0"/>
    <x v="1"/>
    <x v="3"/>
    <x v="0"/>
    <x v="9"/>
    <x v="2"/>
    <x v="4"/>
  </r>
  <r>
    <x v="12"/>
    <x v="12"/>
    <x v="3"/>
    <x v="0"/>
    <x v="2"/>
    <x v="5"/>
    <x v="3"/>
    <x v="10"/>
    <x v="0"/>
    <x v="4"/>
  </r>
  <r>
    <x v="13"/>
    <x v="7"/>
    <x v="8"/>
    <x v="4"/>
    <x v="4"/>
    <x v="4"/>
    <x v="7"/>
    <x v="11"/>
    <x v="1"/>
    <x v="3"/>
  </r>
  <r>
    <x v="14"/>
    <x v="13"/>
    <x v="9"/>
    <x v="5"/>
    <x v="2"/>
    <x v="6"/>
    <x v="3"/>
    <x v="12"/>
    <x v="2"/>
    <x v="2"/>
  </r>
  <r>
    <x v="15"/>
    <x v="14"/>
    <x v="10"/>
    <x v="4"/>
    <x v="0"/>
    <x v="4"/>
    <x v="8"/>
    <x v="13"/>
    <x v="2"/>
    <x v="3"/>
  </r>
  <r>
    <x v="16"/>
    <x v="15"/>
    <x v="11"/>
    <x v="5"/>
    <x v="5"/>
    <x v="5"/>
    <x v="9"/>
    <x v="14"/>
    <x v="0"/>
    <x v="2"/>
  </r>
  <r>
    <x v="17"/>
    <x v="16"/>
    <x v="8"/>
    <x v="4"/>
    <x v="6"/>
    <x v="5"/>
    <x v="7"/>
    <x v="15"/>
    <x v="0"/>
    <x v="5"/>
  </r>
  <r>
    <x v="18"/>
    <x v="17"/>
    <x v="12"/>
    <x v="6"/>
    <x v="7"/>
    <x v="6"/>
    <x v="10"/>
    <x v="16"/>
    <x v="0"/>
    <x v="5"/>
  </r>
  <r>
    <x v="19"/>
    <x v="18"/>
    <x v="13"/>
    <x v="2"/>
    <x v="4"/>
    <x v="2"/>
    <x v="11"/>
    <x v="10"/>
    <x v="1"/>
    <x v="5"/>
  </r>
  <r>
    <x v="20"/>
    <x v="19"/>
    <x v="14"/>
    <x v="3"/>
    <x v="5"/>
    <x v="5"/>
    <x v="12"/>
    <x v="6"/>
    <x v="2"/>
    <x v="4"/>
  </r>
  <r>
    <x v="21"/>
    <x v="20"/>
    <x v="9"/>
    <x v="5"/>
    <x v="2"/>
    <x v="5"/>
    <x v="3"/>
    <x v="10"/>
    <x v="1"/>
    <x v="2"/>
  </r>
  <r>
    <x v="22"/>
    <x v="21"/>
    <x v="9"/>
    <x v="5"/>
    <x v="6"/>
    <x v="5"/>
    <x v="3"/>
    <x v="10"/>
    <x v="2"/>
    <x v="2"/>
  </r>
  <r>
    <x v="23"/>
    <x v="22"/>
    <x v="11"/>
    <x v="5"/>
    <x v="4"/>
    <x v="3"/>
    <x v="9"/>
    <x v="17"/>
    <x v="2"/>
    <x v="2"/>
  </r>
  <r>
    <x v="24"/>
    <x v="23"/>
    <x v="15"/>
    <x v="2"/>
    <x v="4"/>
    <x v="7"/>
    <x v="2"/>
    <x v="18"/>
    <x v="0"/>
    <x v="4"/>
  </r>
  <r>
    <x v="25"/>
    <x v="24"/>
    <x v="16"/>
    <x v="2"/>
    <x v="1"/>
    <x v="7"/>
    <x v="2"/>
    <x v="18"/>
    <x v="0"/>
    <x v="0"/>
  </r>
  <r>
    <x v="26"/>
    <x v="25"/>
    <x v="7"/>
    <x v="3"/>
    <x v="5"/>
    <x v="4"/>
    <x v="6"/>
    <x v="19"/>
    <x v="2"/>
    <x v="5"/>
  </r>
  <r>
    <x v="27"/>
    <x v="26"/>
    <x v="16"/>
    <x v="2"/>
    <x v="3"/>
    <x v="7"/>
    <x v="2"/>
    <x v="18"/>
    <x v="2"/>
    <x v="4"/>
  </r>
  <r>
    <x v="28"/>
    <x v="4"/>
    <x v="17"/>
    <x v="1"/>
    <x v="4"/>
    <x v="0"/>
    <x v="13"/>
    <x v="20"/>
    <x v="2"/>
    <x v="5"/>
  </r>
  <r>
    <x v="29"/>
    <x v="11"/>
    <x v="18"/>
    <x v="1"/>
    <x v="6"/>
    <x v="2"/>
    <x v="13"/>
    <x v="13"/>
    <x v="1"/>
    <x v="4"/>
  </r>
  <r>
    <x v="30"/>
    <x v="27"/>
    <x v="0"/>
    <x v="0"/>
    <x v="2"/>
    <x v="3"/>
    <x v="0"/>
    <x v="9"/>
    <x v="0"/>
    <x v="4"/>
  </r>
  <r>
    <x v="31"/>
    <x v="28"/>
    <x v="19"/>
    <x v="2"/>
    <x v="0"/>
    <x v="5"/>
    <x v="2"/>
    <x v="21"/>
    <x v="2"/>
    <x v="0"/>
  </r>
  <r>
    <x v="32"/>
    <x v="29"/>
    <x v="11"/>
    <x v="5"/>
    <x v="7"/>
    <x v="0"/>
    <x v="9"/>
    <x v="22"/>
    <x v="0"/>
    <x v="2"/>
  </r>
  <r>
    <x v="33"/>
    <x v="20"/>
    <x v="13"/>
    <x v="2"/>
    <x v="6"/>
    <x v="4"/>
    <x v="11"/>
    <x v="23"/>
    <x v="0"/>
    <x v="5"/>
  </r>
  <r>
    <x v="34"/>
    <x v="30"/>
    <x v="20"/>
    <x v="5"/>
    <x v="7"/>
    <x v="0"/>
    <x v="14"/>
    <x v="24"/>
    <x v="1"/>
    <x v="1"/>
  </r>
  <r>
    <x v="35"/>
    <x v="31"/>
    <x v="0"/>
    <x v="0"/>
    <x v="5"/>
    <x v="0"/>
    <x v="0"/>
    <x v="0"/>
    <x v="2"/>
    <x v="4"/>
  </r>
  <r>
    <x v="36"/>
    <x v="32"/>
    <x v="21"/>
    <x v="4"/>
    <x v="1"/>
    <x v="0"/>
    <x v="15"/>
    <x v="25"/>
    <x v="0"/>
    <x v="5"/>
  </r>
  <r>
    <x v="37"/>
    <x v="33"/>
    <x v="17"/>
    <x v="1"/>
    <x v="2"/>
    <x v="0"/>
    <x v="13"/>
    <x v="20"/>
    <x v="0"/>
    <x v="4"/>
  </r>
  <r>
    <x v="38"/>
    <x v="34"/>
    <x v="22"/>
    <x v="7"/>
    <x v="5"/>
    <x v="5"/>
    <x v="16"/>
    <x v="26"/>
    <x v="2"/>
    <x v="2"/>
  </r>
  <r>
    <x v="39"/>
    <x v="35"/>
    <x v="21"/>
    <x v="4"/>
    <x v="2"/>
    <x v="7"/>
    <x v="15"/>
    <x v="1"/>
    <x v="1"/>
    <x v="3"/>
  </r>
  <r>
    <x v="40"/>
    <x v="36"/>
    <x v="12"/>
    <x v="6"/>
    <x v="7"/>
    <x v="2"/>
    <x v="10"/>
    <x v="27"/>
    <x v="2"/>
    <x v="5"/>
  </r>
  <r>
    <x v="41"/>
    <x v="11"/>
    <x v="0"/>
    <x v="0"/>
    <x v="3"/>
    <x v="7"/>
    <x v="0"/>
    <x v="28"/>
    <x v="2"/>
    <x v="4"/>
  </r>
  <r>
    <x v="42"/>
    <x v="37"/>
    <x v="23"/>
    <x v="1"/>
    <x v="0"/>
    <x v="5"/>
    <x v="6"/>
    <x v="29"/>
    <x v="1"/>
    <x v="0"/>
  </r>
  <r>
    <x v="43"/>
    <x v="38"/>
    <x v="4"/>
    <x v="1"/>
    <x v="3"/>
    <x v="6"/>
    <x v="4"/>
    <x v="30"/>
    <x v="2"/>
    <x v="0"/>
  </r>
  <r>
    <x v="44"/>
    <x v="39"/>
    <x v="3"/>
    <x v="0"/>
    <x v="7"/>
    <x v="3"/>
    <x v="3"/>
    <x v="31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9:J18" firstHeaderRow="0" firstDataRow="1" firstDataCol="1"/>
  <pivotFields count="10">
    <pivotField compact="0" showAll="0"/>
    <pivotField compact="0" numFmtId="176" showAll="0"/>
    <pivotField compact="0" showAll="0"/>
    <pivotField compact="0" showAll="0"/>
    <pivotField axis="axisRow" compact="0" showAll="0">
      <items count="9">
        <item x="7"/>
        <item x="5"/>
        <item x="3"/>
        <item x="0"/>
        <item x="1"/>
        <item x="2"/>
        <item x="6"/>
        <item x="4"/>
        <item t="default"/>
      </items>
    </pivotField>
    <pivotField dataField="1" compact="0" showAll="0"/>
    <pivotField compact="0" numFmtId="177" showAll="0"/>
    <pivotField dataField="1" compact="0" numFmtId="177" showAll="0"/>
    <pivotField compact="0" showAll="0"/>
    <pivotField compact="0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 Issued" fld="5" baseField="0" baseItem="0"/>
    <dataField name="Sum of Total Value" fld="7" baseField="0" baseItem="0"/>
  </dataFields>
  <formats count="8">
    <format dxfId="0">
      <pivotArea field="4" type="button" dataOnly="0" labelOnly="1" outline="0" fieldPosition="0"/>
    </format>
    <format dxfId="1">
      <pivotArea dataOnly="0" labelOnly="1" fieldPosition="0">
        <references count="1">
          <reference field="4294967294" count="1">
            <x v="1"/>
          </reference>
        </references>
      </pivotArea>
    </format>
    <format dxfId="2">
      <pivotArea dataOnly="0" labelOnly="1" fieldPosition="0">
        <references count="1">
          <reference field="4294967294" count="1">
            <x v="0"/>
          </reference>
        </references>
      </pivotArea>
    </format>
    <format dxfId="3">
      <pivotArea dataOnly="0" labelOnly="1" grandRow="1" fieldPosition="0"/>
    </format>
    <format dxfId="4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grandRow="1" collapsedLevelsAreSubtotals="1" fieldPosition="0">
        <references count="1">
          <reference field="4294967294" count="1" selected="0">
            <x v="0"/>
          </reference>
        </references>
      </pivotArea>
    </format>
    <format dxfId="7">
      <pivotArea grandRow="1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8" name="Table8" displayName="Table8" ref="A9:B17" totalsRowShown="0">
  <autoFilter xmlns:etc="http://www.wps.cn/officeDocument/2017/etCustomData" ref="A9:B17" etc:filterBottomFollowUsedRange="0"/>
  <tableColumns count="2">
    <tableColumn id="1" name="Category" dataDxfId="8"/>
    <tableColumn id="2" name="Inventory Table" dataDxfId="9">
      <calculatedColumnFormula>SUMIF('Inventory-Master'!C2:C32,A10,'Inventory-Master'!H3:H32)</calculatedColumnFormula>
    </tableColumn>
  </tableColumns>
  <tableStyleInfo name="TableStylePreset3_Accent1" showFirstColumn="0" showLastColumn="0" showRowStripes="0" showColumnStripes="0"/>
</table>
</file>

<file path=xl/tables/table2.xml><?xml version="1.0" encoding="utf-8"?>
<table xmlns="http://schemas.openxmlformats.org/spreadsheetml/2006/main" id="11" name="Table11" displayName="Table11" ref="A27:F37" totalsRowShown="0">
  <autoFilter xmlns:etc="http://www.wps.cn/officeDocument/2017/etCustomData" ref="A27:F37" etc:filterBottomFollowUsedRange="0"/>
  <tableColumns count="6">
    <tableColumn id="1" name="Item ID" dataDxfId="10"/>
    <tableColumn id="2" name="Item Name" dataDxfId="11"/>
    <tableColumn id="3" name="Category" dataDxfId="12"/>
    <tableColumn id="4" name="Current Stock" dataDxfId="13"/>
    <tableColumn id="5" name="Reorder Level" dataDxfId="14"/>
    <tableColumn id="6" name="Suggested Reorder Qty" dataDxfId="15"/>
  </tableColumns>
  <tableStyleInfo name="TableStylePreset3_Accent1" showFirstColumn="0" showLastColumn="0" showRowStripes="0" showColumnStripes="0"/>
</table>
</file>

<file path=xl/tables/table3.xml><?xml version="1.0" encoding="utf-8"?>
<table xmlns="http://schemas.openxmlformats.org/spreadsheetml/2006/main" id="12" name="Table12" displayName="Table12" ref="A39:A43" totalsRowShown="0">
  <autoFilter xmlns:etc="http://www.wps.cn/officeDocument/2017/etCustomData" ref="A39:A43" etc:filterBottomFollowUsedRange="0"/>
  <tableColumns count="1">
    <tableColumn id="1" name="Low Stock Reference"/>
  </tableColumns>
  <tableStyleInfo name="TableStylePreset3_Accent1" showFirstColumn="0" showLastColumn="0" showRowStripes="0" showColumnStripes="0"/>
</table>
</file>

<file path=xl/tables/table4.xml><?xml version="1.0" encoding="utf-8"?>
<table xmlns="http://schemas.openxmlformats.org/spreadsheetml/2006/main" id="1" name="tbl_Inventory" displayName="tbl_Inventory" ref="A2:L32" totalsRowShown="0">
  <autoFilter xmlns:etc="http://www.wps.cn/officeDocument/2017/etCustomData" ref="A2:L32" etc:filterBottomFollowUsedRange="0"/>
  <tableColumns count="12">
    <tableColumn id="1" name="Item ID"/>
    <tableColumn id="2" name="Item Name"/>
    <tableColumn id="3" name="Category"/>
    <tableColumn id="4" name="Unit"/>
    <tableColumn id="5" name="Reorder Level"/>
    <tableColumn id="6" name="Current Stock"/>
    <tableColumn id="7" name="Unit Cost"/>
    <tableColumn id="8" name="Stock Value"/>
    <tableColumn id="9" name="Reorder Qty Suggested"/>
    <tableColumn id="10" name="Stock Status"/>
    <tableColumn id="11" name="Preferred Supplier"/>
    <tableColumn id="12" name="Last Restocked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_StockIssuance" displayName="tbl_StockIssuance" ref="A2:J47" totalsRowShown="0">
  <autoFilter xmlns:etc="http://www.wps.cn/officeDocument/2017/etCustomData" ref="A2:J47" etc:filterBottomFollowUsedRange="0"/>
  <tableColumns count="10">
    <tableColumn id="1" name="Issuance ID"/>
    <tableColumn id="2" name="Date"/>
    <tableColumn id="3" name="Item"/>
    <tableColumn id="4" name="Category"/>
    <tableColumn id="5" name="Department"/>
    <tableColumn id="6" name="Quantity Issued"/>
    <tableColumn id="7" name="Unit Cost"/>
    <tableColumn id="8" name="Total Value"/>
    <tableColumn id="9" name="Issued By"/>
    <tableColumn id="10" name="Purpose / Remark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table" Target="../tables/table3.xml"/><Relationship Id="rId4" Type="http://schemas.openxmlformats.org/officeDocument/2006/relationships/table" Target="../tables/table2.xml"/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3864"/>
  </sheetPr>
  <dimension ref="A1:P76"/>
  <sheetViews>
    <sheetView showGridLines="0" tabSelected="1" zoomScale="83" zoomScaleNormal="83" workbookViewId="0">
      <selection activeCell="H44" sqref="H44"/>
    </sheetView>
  </sheetViews>
  <sheetFormatPr defaultColWidth="8.67592592592593" defaultRowHeight="14.4"/>
  <cols>
    <col min="1" max="1" width="29.1111111111111" customWidth="1"/>
    <col min="2" max="2" width="25.6666666666667" customWidth="1"/>
    <col min="3" max="3" width="19" customWidth="1"/>
    <col min="4" max="4" width="13.1111111111111" customWidth="1"/>
    <col min="5" max="5" width="13" customWidth="1"/>
    <col min="6" max="6" width="18" customWidth="1"/>
    <col min="7" max="7" width="14" customWidth="1"/>
    <col min="8" max="8" width="15.1203703703704" customWidth="1"/>
    <col min="9" max="9" width="22.2222222222222" customWidth="1"/>
    <col min="10" max="10" width="21.6666666666667"/>
    <col min="11" max="11" width="14" customWidth="1"/>
    <col min="12" max="12" width="20.3703703703704" customWidth="1"/>
    <col min="14" max="15" width="20" hidden="1" customWidth="1" outlineLevel="1"/>
    <col min="16" max="16" width="14" customWidth="1"/>
  </cols>
  <sheetData>
    <row r="1" ht="25.5" customHeight="1" spans="1:16">
      <c r="A1" s="7" t="s">
        <v>0</v>
      </c>
      <c r="B1" s="7"/>
      <c r="C1" s="7"/>
      <c r="D1" s="7"/>
      <c r="E1" s="7"/>
      <c r="F1" s="7"/>
    </row>
    <row r="2" ht="15" customHeight="1" spans="1:16">
      <c r="A2" s="7"/>
      <c r="B2" s="7"/>
      <c r="C2" s="7"/>
      <c r="D2" s="7"/>
      <c r="E2" s="7"/>
      <c r="F2" s="7"/>
      <c r="N2" s="8" t="s">
        <v>1</v>
      </c>
    </row>
    <row r="3" ht="15" customHeight="1" spans="1:16">
      <c r="A3" s="9"/>
      <c r="B3" s="10"/>
      <c r="C3" s="10"/>
      <c r="D3" s="10"/>
      <c r="E3" s="10"/>
      <c r="F3" s="11"/>
      <c r="N3" s="5" t="s">
        <v>2</v>
      </c>
      <c r="O3" s="5">
        <f>SUMIF('Inventory-Master'!$C$3:$C$32,N3,'Inventory-Master'!$H$3:$H$32)</f>
        <v>5800</v>
      </c>
    </row>
    <row r="4" ht="19.5" customHeight="1" spans="1:16">
      <c r="A4" s="12" t="s">
        <v>3</v>
      </c>
      <c r="C4" s="13" t="s">
        <v>4</v>
      </c>
      <c r="E4" s="14" t="s">
        <v>5</v>
      </c>
      <c r="N4" s="5" t="s">
        <v>6</v>
      </c>
      <c r="O4" s="5">
        <f>SUMIF('Inventory-Master'!$C$3:$C$32,N4,'Inventory-Master'!$H$3:$H$32)</f>
        <v>8355</v>
      </c>
    </row>
    <row r="5" ht="33.75" customHeight="1" spans="1:16">
      <c r="A5" s="15">
        <f>COUNTA('Inventory-Master'!B3:B32)</f>
        <v>30</v>
      </c>
      <c r="C5" s="16">
        <f>SUM('Inventory-Master'!H3:H32)</f>
        <v>74930</v>
      </c>
      <c r="E5" s="17">
        <f>COUNTIF('Inventory-Master'!J3:J32,"Low Stock")</f>
        <v>4</v>
      </c>
      <c r="N5" s="5" t="s">
        <v>7</v>
      </c>
      <c r="O5" s="5">
        <f>SUMIF('Inventory-Master'!$C$3:$C$32,N5,'Inventory-Master'!$H$3:$H$32)</f>
        <v>14750</v>
      </c>
    </row>
    <row r="6" ht="6" customHeight="1" spans="1:16">
      <c r="A6" s="18"/>
      <c r="B6" s="18"/>
      <c r="C6" s="19"/>
      <c r="D6" s="19"/>
      <c r="E6" s="20"/>
      <c r="F6" s="20"/>
      <c r="N6" s="5" t="s">
        <v>8</v>
      </c>
      <c r="O6" s="5">
        <f>SUMIF('Inventory-Master'!$C$3:$C$32,N6,'Inventory-Master'!$H$3:$H$32)</f>
        <v>17300</v>
      </c>
      <c r="P6" t="str">
        <f>IF('Inventory-Master'!J7="Low Stock",ROW('Inventory-Master'!J7),"")</f>
        <v/>
      </c>
    </row>
    <row r="7" ht="18" customHeight="1" spans="1:16">
      <c r="A7" s="21"/>
      <c r="C7" s="22"/>
      <c r="E7" s="23"/>
      <c r="H7" s="24" t="s">
        <v>9</v>
      </c>
      <c r="I7" s="25"/>
      <c r="N7" s="5" t="s">
        <v>10</v>
      </c>
      <c r="O7" s="5">
        <f>SUMIF('Inventory-Master'!$C$3:$C$32,N7,'Inventory-Master'!$H$3:$H$32)</f>
        <v>1425</v>
      </c>
      <c r="P7" t="str">
        <f>IF('Inventory-Master'!J8="Low Stock",ROW('Inventory-Master'!J8),"")</f>
        <v/>
      </c>
    </row>
    <row r="8" ht="9.75" customHeight="1" spans="1:16">
      <c r="N8" s="5" t="s">
        <v>11</v>
      </c>
      <c r="O8" s="5">
        <f>SUMIF('Inventory-Master'!$C$3:$C$32,N8,'Inventory-Master'!$H$3:$H$32)</f>
        <v>18500</v>
      </c>
      <c r="P8" t="str">
        <f>IF('Inventory-Master'!J9="Low Stock",ROW('Inventory-Master'!J9),"")</f>
        <v/>
      </c>
    </row>
    <row r="9" ht="15" customHeight="1" spans="1:16">
      <c r="A9" s="26" t="s">
        <v>12</v>
      </c>
      <c r="B9" s="26" t="s">
        <v>13</v>
      </c>
      <c r="H9" s="26" t="s">
        <v>14</v>
      </c>
      <c r="I9" s="26" t="s">
        <v>15</v>
      </c>
      <c r="J9" s="26" t="s">
        <v>16</v>
      </c>
      <c r="N9" t="str">
        <f>IF('Inventory-Master'!J10="Low Stock",ROW('Inventory-Master'!J10),"")</f>
        <v/>
      </c>
    </row>
    <row r="10" ht="15" customHeight="1" spans="1:16">
      <c r="A10" s="27" t="s">
        <v>6</v>
      </c>
      <c r="B10" s="28">
        <f ca="1">SUMIF('Inventory-Master'!C2:C32,A10,'Inventory-Master'!H3:H32)</f>
        <v>7855</v>
      </c>
      <c r="H10" t="s">
        <v>17</v>
      </c>
      <c r="I10">
        <v>41</v>
      </c>
      <c r="J10">
        <v>18225</v>
      </c>
      <c r="N10" t="str">
        <f>IF('Inventory-Master'!J11="Low Stock",ROW('Inventory-Master'!J11),"")</f>
        <v/>
      </c>
    </row>
    <row r="11" ht="15" customHeight="1" spans="1:16">
      <c r="A11" s="27" t="s">
        <v>7</v>
      </c>
      <c r="B11" s="28">
        <f ca="1">SUMIF('Inventory-Master'!C3:C33,A11,'Inventory-Master'!H4:H33)</f>
        <v>13650</v>
      </c>
      <c r="H11" t="s">
        <v>18</v>
      </c>
      <c r="I11">
        <v>78</v>
      </c>
      <c r="J11">
        <v>25670</v>
      </c>
      <c r="N11" t="str">
        <f>IF('Inventory-Master'!J12="Low Stock",ROW('Inventory-Master'!J12),"")</f>
        <v/>
      </c>
    </row>
    <row r="12" ht="15" customHeight="1" spans="1:16">
      <c r="A12" s="27" t="s">
        <v>8</v>
      </c>
      <c r="B12" s="28">
        <f ca="1">SUMIF('Inventory-Master'!C4:C34,A12,'Inventory-Master'!H5:H34)</f>
        <v>18000</v>
      </c>
      <c r="H12" t="s">
        <v>19</v>
      </c>
      <c r="I12">
        <v>20</v>
      </c>
      <c r="J12">
        <v>1450</v>
      </c>
      <c r="N12" t="str">
        <f>IF('Inventory-Master'!J13="Low Stock",ROW('Inventory-Master'!J13),"")</f>
        <v/>
      </c>
    </row>
    <row r="13" ht="15" customHeight="1" spans="1:16">
      <c r="A13" s="27" t="s">
        <v>2</v>
      </c>
      <c r="B13" s="28">
        <f ca="1">SUMIF('Inventory-Master'!C5:C35,A13,'Inventory-Master'!H6:H35)</f>
        <v>1050</v>
      </c>
      <c r="H13" t="s">
        <v>20</v>
      </c>
      <c r="I13">
        <v>76</v>
      </c>
      <c r="J13">
        <v>6375</v>
      </c>
      <c r="N13" t="str">
        <f>IF('Inventory-Master'!J14="Low Stock",ROW('Inventory-Master'!J14),"")</f>
        <v/>
      </c>
    </row>
    <row r="14" ht="15" customHeight="1" spans="1:16">
      <c r="A14" s="27" t="s">
        <v>10</v>
      </c>
      <c r="B14" s="28">
        <f ca="1">SUMIF('Inventory-Master'!C6:C36,A14,'Inventory-Master'!H7:H36)</f>
        <v>1175</v>
      </c>
      <c r="H14" t="s">
        <v>21</v>
      </c>
      <c r="I14">
        <v>50</v>
      </c>
      <c r="J14">
        <v>3515</v>
      </c>
      <c r="N14" t="str">
        <f>IF('Inventory-Master'!J15="Low Stock",ROW('Inventory-Master'!J15),"")</f>
        <v/>
      </c>
    </row>
    <row r="15" ht="15" customHeight="1" spans="1:16">
      <c r="A15" s="27" t="s">
        <v>11</v>
      </c>
      <c r="B15" s="28">
        <f ca="1">SUMIF('Inventory-Master'!C7:C37,A15,'Inventory-Master'!H8:H37)</f>
        <v>23700</v>
      </c>
      <c r="H15" t="s">
        <v>22</v>
      </c>
      <c r="I15">
        <v>96</v>
      </c>
      <c r="J15">
        <v>12615</v>
      </c>
      <c r="N15" t="str">
        <f>IF('Inventory-Master'!J16="Low Stock",ROW('Inventory-Master'!J16),"")</f>
        <v/>
      </c>
    </row>
    <row r="16" ht="15" customHeight="1" spans="1:16">
      <c r="A16" s="27" t="s">
        <v>23</v>
      </c>
      <c r="B16" s="28">
        <f ca="1">SUMIF('Inventory-Master'!C8:C38,A16,'Inventory-Master'!H9:H38)</f>
        <v>1000</v>
      </c>
      <c r="H16" t="s">
        <v>24</v>
      </c>
      <c r="I16">
        <v>44</v>
      </c>
      <c r="J16">
        <v>13005</v>
      </c>
      <c r="N16" t="str">
        <f>IF('Inventory-Master'!J17="Low Stock",ROW('Inventory-Master'!J17),"")</f>
        <v/>
      </c>
    </row>
    <row r="17" ht="15" customHeight="1" spans="1:16">
      <c r="A17" s="27" t="s">
        <v>25</v>
      </c>
      <c r="B17" s="28">
        <f ca="1">SUMIF('Inventory-Master'!C9:C39,A17,'Inventory-Master'!H10:H39)</f>
        <v>5800</v>
      </c>
      <c r="H17" t="s">
        <v>26</v>
      </c>
      <c r="I17">
        <v>32</v>
      </c>
      <c r="J17">
        <v>7359</v>
      </c>
      <c r="N17" t="str">
        <f>IF('Inventory-Master'!J18="Low Stock",ROW('Inventory-Master'!J18),"")</f>
        <v/>
      </c>
    </row>
    <row r="18" ht="15" customHeight="1" spans="1:16">
      <c r="H18" s="26" t="s">
        <v>27</v>
      </c>
      <c r="I18" s="29">
        <v>437</v>
      </c>
      <c r="J18" s="29">
        <v>88214</v>
      </c>
      <c r="N18" s="5"/>
      <c r="O18" s="5"/>
      <c r="P18" t="str">
        <f>IF('Inventory-Master'!J19="Low Stock",ROW('Inventory-Master'!J19),"")</f>
        <v/>
      </c>
    </row>
    <row r="19" ht="15" customHeight="1" spans="1:16">
      <c r="N19" s="5" t="s">
        <v>14</v>
      </c>
      <c r="O19" s="5" t="s">
        <v>28</v>
      </c>
      <c r="P19" t="str">
        <f>IF('Inventory-Master'!J20="Low Stock",ROW('Inventory-Master'!J20),"")</f>
        <v/>
      </c>
    </row>
    <row r="20" ht="15" customHeight="1" spans="1:16">
      <c r="N20" s="5" t="s">
        <v>17</v>
      </c>
      <c r="O20" s="5" t="e">
        <f>COUNTIF(#REF!,N20)</f>
        <v>#REF!</v>
      </c>
      <c r="P20" t="str">
        <f>IF('Inventory-Master'!J21="Low Stock",ROW('Inventory-Master'!J21),"")</f>
        <v/>
      </c>
    </row>
    <row r="21" ht="15" customHeight="1" spans="1:16">
      <c r="N21" s="5" t="s">
        <v>18</v>
      </c>
      <c r="O21" s="5" t="e">
        <f>COUNTIF(#REF!,N21)</f>
        <v>#REF!</v>
      </c>
      <c r="P21" t="str">
        <f>IF('Inventory-Master'!J22="Low Stock",ROW('Inventory-Master'!J22),"")</f>
        <v/>
      </c>
    </row>
    <row r="22" ht="15" customHeight="1" spans="1:16">
      <c r="N22" s="5" t="s">
        <v>19</v>
      </c>
      <c r="O22" s="5" t="e">
        <f>COUNTIF(#REF!,N22)</f>
        <v>#REF!</v>
      </c>
    </row>
    <row r="23" ht="15" customHeight="1" spans="1:16">
      <c r="N23" s="5" t="s">
        <v>20</v>
      </c>
      <c r="O23" s="5" t="e">
        <f>COUNTIF(#REF!,N23)</f>
        <v>#REF!</v>
      </c>
      <c r="P23" t="str">
        <f>IF('Inventory-Master'!J24="Low Stock",ROW('Inventory-Master'!J24),"")</f>
        <v/>
      </c>
    </row>
    <row r="24" ht="15" customHeight="1" spans="1:16">
      <c r="N24" s="5" t="s">
        <v>21</v>
      </c>
      <c r="O24" s="5" t="e">
        <f>COUNTIF(#REF!,N24)</f>
        <v>#REF!</v>
      </c>
      <c r="P24" t="str">
        <f>IF('Inventory-Master'!J25="Low Stock",ROW('Inventory-Master'!J25),"")</f>
        <v/>
      </c>
    </row>
    <row r="25" ht="15" customHeight="1" spans="1:16">
      <c r="N25" t="str">
        <f>IF('Inventory-Master'!J26="Low Stock",ROW('Inventory-Master'!J26),"")</f>
        <v/>
      </c>
    </row>
    <row r="26" ht="15" customHeight="1" spans="1:16">
      <c r="A26" s="30" t="s">
        <v>29</v>
      </c>
      <c r="N26" t="str">
        <f>IF('Inventory-Master'!J27="Low Stock",ROW('Inventory-Master'!J27),"")</f>
        <v/>
      </c>
    </row>
    <row r="27" ht="15" customHeight="1" spans="1:16">
      <c r="A27" s="2" t="s">
        <v>30</v>
      </c>
      <c r="B27" s="2" t="s">
        <v>31</v>
      </c>
      <c r="C27" s="2" t="s">
        <v>12</v>
      </c>
      <c r="D27" s="2" t="s">
        <v>32</v>
      </c>
      <c r="E27" s="2" t="s">
        <v>33</v>
      </c>
      <c r="F27" s="2" t="s">
        <v>34</v>
      </c>
    </row>
    <row r="28" ht="15" customHeight="1" spans="1:16">
      <c r="A28" s="3" t="str">
        <f>IFERROR(INDEX('Inventory-Master'!$A:$A,IFERROR(SMALL($A$40:$A$43,1),"")),"")</f>
        <v>ITM-003</v>
      </c>
      <c r="B28" s="5" t="str">
        <f>IFERROR(INDEX('Inventory-Master'!$B:$B,IFERROR(SMALL($A$40:$A$43,1),"")),"")</f>
        <v>Stapler</v>
      </c>
      <c r="C28" s="3" t="str">
        <f>IFERROR(INDEX('Inventory-Master'!$C:$C,IFERROR(SMALL($A$40:$A$43,1),"")),"")</f>
        <v>Office Equipment</v>
      </c>
      <c r="D28" s="3">
        <f>IFERROR(INDEX('Inventory-Master'!$F:$F,IFERROR(SMALL($A$40:$A$43,1),"")),"")</f>
        <v>30</v>
      </c>
      <c r="E28" s="3">
        <f>IFERROR(INDEX('Inventory-Master'!$E:$E,IFERROR(SMALL($A$40:$A$43,1),"")),"")</f>
        <v>30</v>
      </c>
      <c r="F28" s="3">
        <f>IFERROR(INDEX('Inventory-Master'!$I:$I,IFERROR(SMALL($A$40:$A$43,1),"")),"")</f>
        <v>30</v>
      </c>
      <c r="N28" t="str">
        <f>IF('Inventory-Master'!J29="Low Stock",ROW('Inventory-Master'!J29),"")</f>
        <v/>
      </c>
    </row>
    <row r="29" ht="15" customHeight="1" spans="1:16">
      <c r="A29" s="3" t="str">
        <f>IFERROR(INDEX('Inventory-Master'!$A:$A,IFERROR(SMALL($A$40:$A$43,2),"")),"")</f>
        <v>ITM-021</v>
      </c>
      <c r="B29" s="5" t="str">
        <f>IFERROR(INDEX('Inventory-Master'!$B:$B,IFERROR(SMALL($A$40:$A$43,2),"")),"")</f>
        <v>Desk Calendar</v>
      </c>
      <c r="C29" s="3" t="str">
        <f>IFERROR(INDEX('Inventory-Master'!$C:$C,IFERROR(SMALL($A$40:$A$43,2),"")),"")</f>
        <v>Stationery</v>
      </c>
      <c r="D29" s="3">
        <f>IFERROR(INDEX('Inventory-Master'!$F:$F,IFERROR(SMALL($A$40:$A$43,2),"")),"")</f>
        <v>15</v>
      </c>
      <c r="E29" s="3">
        <f>IFERROR(INDEX('Inventory-Master'!$E:$E,IFERROR(SMALL($A$40:$A$43,2),"")),"")</f>
        <v>15</v>
      </c>
      <c r="F29" s="3">
        <f>IFERROR(INDEX('Inventory-Master'!$I:$I,IFERROR(SMALL($A$40:$A$43,2),"")),"")</f>
        <v>15</v>
      </c>
      <c r="N29" t="str">
        <f>IF('Inventory-Master'!J30="Low Stock",ROW('Inventory-Master'!J30),"")</f>
        <v/>
      </c>
    </row>
    <row r="30" ht="15" customHeight="1" spans="1:16">
      <c r="A30" s="3" t="str">
        <f>IFERROR(INDEX('Inventory-Master'!$A:$A,IFERROR(SMALL($A$40:$A$43,3),"")),"")</f>
        <v>ITM-026</v>
      </c>
      <c r="B30" s="5" t="str">
        <f>IFERROR(INDEX('Inventory-Master'!$B:$B,IFERROR(SMALL($A$40:$A$43,3),"")),"")</f>
        <v>Toner Cartridge</v>
      </c>
      <c r="C30" s="3" t="str">
        <f>IFERROR(INDEX('Inventory-Master'!$C:$C,IFERROR(SMALL($A$40:$A$43,3),"")),"")</f>
        <v>Printing Supplies</v>
      </c>
      <c r="D30" s="3">
        <f>IFERROR(INDEX('Inventory-Master'!$F:$F,IFERROR(SMALL($A$40:$A$43,3),"")),"")</f>
        <v>5</v>
      </c>
      <c r="E30" s="3">
        <f>IFERROR(INDEX('Inventory-Master'!$E:$E,IFERROR(SMALL($A$40:$A$43,3),"")),"")</f>
        <v>5</v>
      </c>
      <c r="F30" s="3">
        <f>IFERROR(INDEX('Inventory-Master'!$I:$I,IFERROR(SMALL($A$40:$A$43,3),"")),"")</f>
        <v>5</v>
      </c>
      <c r="N30" t="str">
        <f>IF('Inventory-Master'!J31="Low Stock",ROW('Inventory-Master'!J31),"")</f>
        <v/>
      </c>
    </row>
    <row r="31" ht="15" customHeight="1" spans="1:16">
      <c r="A31" s="3" t="str">
        <f>IFERROR(INDEX('Inventory-Master'!$A:$A,IFERROR(SMALL($A$40:$A$43,4),"")),"")</f>
        <v>ITM-030</v>
      </c>
      <c r="B31" s="5" t="str">
        <f>IFERROR(INDEX('Inventory-Master'!$B:$B,IFERROR(SMALL($A$40:$A$43,4),"")),"")</f>
        <v>Calculator</v>
      </c>
      <c r="C31" s="3" t="str">
        <f>IFERROR(INDEX('Inventory-Master'!$C:$C,IFERROR(SMALL($A$40:$A$43,4),"")),"")</f>
        <v>Office Equipment</v>
      </c>
      <c r="D31" s="3">
        <f>IFERROR(INDEX('Inventory-Master'!$F:$F,IFERROR(SMALL($A$40:$A$43,4),"")),"")</f>
        <v>10</v>
      </c>
      <c r="E31" s="3">
        <f>IFERROR(INDEX('Inventory-Master'!$E:$E,IFERROR(SMALL($A$40:$A$43,4),"")),"")</f>
        <v>10</v>
      </c>
      <c r="F31" s="3">
        <f>IFERROR(INDEX('Inventory-Master'!$I:$I,IFERROR(SMALL($A$40:$A$43,4),"")),"")</f>
        <v>10</v>
      </c>
    </row>
    <row r="32" spans="1:16">
      <c r="A32" s="3" t="str">
        <f>IFERROR(INDEX('Inventory-Master'!$A:$A,IFERROR(SMALL($A$40:$A$43,5),"")),"")</f>
        <v/>
      </c>
      <c r="B32" s="5" t="str">
        <f>IFERROR(INDEX('Inventory-Master'!$B:$B,IFERROR(SMALL($A$40:$A$43,5),"")),"")</f>
        <v/>
      </c>
      <c r="C32" s="3" t="str">
        <f>IFERROR(INDEX('Inventory-Master'!$C:$C,IFERROR(SMALL($A$40:$A$43,5),"")),"")</f>
        <v/>
      </c>
      <c r="D32" s="3" t="str">
        <f>IFERROR(INDEX('Inventory-Master'!$F:$F,IFERROR(SMALL($A$40:$A$43,5),"")),"")</f>
        <v/>
      </c>
      <c r="E32" s="3" t="str">
        <f>IFERROR(INDEX('Inventory-Master'!$E:$E,IFERROR(SMALL($A$40:$A$43,5),"")),"")</f>
        <v/>
      </c>
      <c r="F32" s="3" t="str">
        <f>IFERROR(INDEX('Inventory-Master'!$I:$I,IFERROR(SMALL($A$40:$A$43,5),"")),"")</f>
        <v/>
      </c>
    </row>
    <row r="33" spans="1:8">
      <c r="A33" s="3" t="str">
        <f>IFERROR(INDEX('Inventory-Master'!$A:$A,IFERROR(SMALL($A$40:$A$43,6),"")),"")</f>
        <v/>
      </c>
      <c r="B33" s="5" t="str">
        <f>IFERROR(INDEX('Inventory-Master'!$B:$B,IFERROR(SMALL($A$40:$A$43,6),"")),"")</f>
        <v/>
      </c>
      <c r="C33" s="3" t="str">
        <f>IFERROR(INDEX('Inventory-Master'!$C:$C,IFERROR(SMALL($A$40:$A$43,6),"")),"")</f>
        <v/>
      </c>
      <c r="D33" s="3" t="str">
        <f>IFERROR(INDEX('Inventory-Master'!$F:$F,IFERROR(SMALL($A$40:$A$43,6),"")),"")</f>
        <v/>
      </c>
      <c r="E33" s="3" t="str">
        <f>IFERROR(INDEX('Inventory-Master'!$E:$E,IFERROR(SMALL($A$40:$A$43,6),"")),"")</f>
        <v/>
      </c>
      <c r="F33" s="3" t="str">
        <f>IFERROR(INDEX('Inventory-Master'!$I:$I,IFERROR(SMALL($A$40:$A$43,6),"")),"")</f>
        <v/>
      </c>
    </row>
    <row r="34" spans="1:8">
      <c r="A34" s="3" t="str">
        <f>IFERROR(INDEX('Inventory-Master'!$A:$A,IFERROR(SMALL($A$40:$A$43,7),"")),"")</f>
        <v/>
      </c>
      <c r="B34" s="5" t="str">
        <f>IFERROR(INDEX('Inventory-Master'!$B:$B,IFERROR(SMALL($A$40:$A$43,7),"")),"")</f>
        <v/>
      </c>
      <c r="C34" s="3" t="str">
        <f>IFERROR(INDEX('Inventory-Master'!$C:$C,IFERROR(SMALL($A$40:$A$43,7),"")),"")</f>
        <v/>
      </c>
      <c r="D34" s="3" t="str">
        <f>IFERROR(INDEX('Inventory-Master'!$F:$F,IFERROR(SMALL($A$40:$A$43,7),"")),"")</f>
        <v/>
      </c>
      <c r="E34" s="3" t="str">
        <f>IFERROR(INDEX('Inventory-Master'!$E:$E,IFERROR(SMALL($A$40:$A$43,7),"")),"")</f>
        <v/>
      </c>
      <c r="F34" s="3" t="str">
        <f>IFERROR(INDEX('Inventory-Master'!$I:$I,IFERROR(SMALL($A$40:$A$43,7),"")),"")</f>
        <v/>
      </c>
    </row>
    <row r="35" spans="1:8">
      <c r="A35" s="3" t="str">
        <f>IFERROR(INDEX('Inventory-Master'!$A:$A,IFERROR(SMALL($P$3:$P$31,8),"")),"")</f>
        <v/>
      </c>
      <c r="B35" s="5" t="str">
        <f>IFERROR(INDEX('Inventory-Master'!$B:$B,IFERROR(SMALL($A$40:$A$43,8),"")),"")</f>
        <v/>
      </c>
      <c r="C35" s="3" t="str">
        <f>IFERROR(INDEX('Inventory-Master'!$C:$C,IFERROR(SMALL($A$40:$A$43,8),"")),"")</f>
        <v/>
      </c>
      <c r="D35" s="3" t="str">
        <f>IFERROR(INDEX('Inventory-Master'!$F:$F,IFERROR(SMALL($A$40:$A$43,8),"")),"")</f>
        <v/>
      </c>
      <c r="E35" s="3" t="str">
        <f>IFERROR(INDEX('Inventory-Master'!$E:$E,IFERROR(SMALL($A$40:$A$43,8),"")),"")</f>
        <v/>
      </c>
      <c r="F35" s="3" t="str">
        <f>IFERROR(INDEX('Inventory-Master'!$I:$I,IFERROR(SMALL($A$40:$A$43,8),"")),"")</f>
        <v/>
      </c>
    </row>
    <row r="36" spans="1:8">
      <c r="A36" s="3" t="str">
        <f>IFERROR(INDEX('Inventory-Master'!$A:$A,IFERROR(SMALL($A$40:$A$43,9),"")),"")</f>
        <v/>
      </c>
      <c r="B36" s="5" t="str">
        <f>IFERROR(INDEX('Inventory-Master'!$B:$B,IFERROR(SMALL($A$40:$A$43,9),"")),"")</f>
        <v/>
      </c>
      <c r="C36" s="3" t="str">
        <f>IFERROR(INDEX('Inventory-Master'!$C:$C,IFERROR(SMALL($A$40:$A$43,9),"")),"")</f>
        <v/>
      </c>
      <c r="D36" s="3" t="str">
        <f>IFERROR(INDEX('Inventory-Master'!$F:$F,IFERROR(SMALL($A$40:$A$43,9),"")),"")</f>
        <v/>
      </c>
      <c r="E36" s="3" t="str">
        <f>IFERROR(INDEX('Inventory-Master'!$E:$E,IFERROR(SMALL($A$40:$A$43,9),"")),"")</f>
        <v/>
      </c>
      <c r="F36" s="3" t="str">
        <f>IFERROR(INDEX('Inventory-Master'!$I:$I,IFERROR(SMALL($A$40:$A$43,9),"")),"")</f>
        <v/>
      </c>
    </row>
    <row r="37" spans="1:8">
      <c r="A37" s="3" t="str">
        <f>IFERROR(INDEX('Inventory-Master'!$A:$A,IFERROR(SMALL($A$40:$A$43,10),"")),"")</f>
        <v/>
      </c>
      <c r="B37" s="5" t="str">
        <f>IFERROR(INDEX('Inventory-Master'!$B:$B,IFERROR(SMALL($A$40:$A$43,10),"")),"")</f>
        <v/>
      </c>
      <c r="C37" s="3" t="str">
        <f>IFERROR(INDEX('Inventory-Master'!$C:$C,IFERROR(SMALL($A$40:$A$43,10),"")),"")</f>
        <v/>
      </c>
      <c r="D37" s="3" t="str">
        <f>IFERROR(INDEX('Inventory-Master'!$F:$F,IFERROR(SMALL($A$40:$A$43,10),"")),"")</f>
        <v/>
      </c>
      <c r="E37" s="3" t="str">
        <f>IFERROR(INDEX('Inventory-Master'!$E:$E,IFERROR(SMALL($A$40:$A$43,10),"")),"")</f>
        <v/>
      </c>
      <c r="F37" s="3" t="str">
        <f>IFERROR(INDEX('Inventory-Master'!$I:$I,IFERROR(SMALL($A$40:$A$43,10),"")),"")</f>
        <v/>
      </c>
    </row>
    <row r="39" spans="1:8">
      <c r="A39" s="2" t="s">
        <v>35</v>
      </c>
      <c r="B39" s="31"/>
      <c r="C39" s="31"/>
      <c r="D39" s="31"/>
      <c r="E39" s="31"/>
      <c r="F39" s="31"/>
    </row>
    <row r="40" spans="1:8">
      <c r="A40" s="3">
        <f>IF('Inventory-Master'!J5="Low Stock",ROW('Inventory-Master'!J5),"")</f>
        <v>5</v>
      </c>
      <c r="B40" s="31"/>
      <c r="C40" s="31"/>
      <c r="D40" s="31"/>
      <c r="E40" s="31"/>
      <c r="F40" s="31"/>
    </row>
    <row r="41" spans="1:8">
      <c r="A41" s="3">
        <f>IF('Inventory-Master'!J23="Low Stock",ROW('Inventory-Master'!J23),"")</f>
        <v>23</v>
      </c>
    </row>
    <row r="42" spans="1:8">
      <c r="A42" s="3">
        <f>IF('Inventory-Master'!J28="Low Stock",ROW('Inventory-Master'!J28),"")</f>
        <v>28</v>
      </c>
    </row>
    <row r="43" spans="1:8">
      <c r="A43" s="3">
        <f>IF('Inventory-Master'!J32="Low Stock",ROW('Inventory-Master'!J32),"")</f>
        <v>32</v>
      </c>
    </row>
    <row r="44" ht="21.75" customHeight="1" spans="1:8">
      <c r="A44" s="3"/>
    </row>
    <row r="45" ht="27.75" customHeight="1" spans="1:8">
      <c r="A45" s="32"/>
    </row>
    <row r="46" ht="15" customHeight="1"/>
    <row r="47" ht="15" customHeight="1" spans="1:8">
      <c r="A47" s="33" t="s">
        <v>36</v>
      </c>
      <c r="B47" s="34" t="s">
        <v>37</v>
      </c>
      <c r="E47" s="35"/>
      <c r="F47" s="35"/>
      <c r="H47" s="35"/>
    </row>
    <row r="48" ht="15" customHeight="1" spans="1:8">
      <c r="E48" s="36"/>
      <c r="H48" s="36"/>
    </row>
    <row r="49" ht="15" customHeight="1" spans="1:2">
      <c r="A49" s="37" t="s">
        <v>12</v>
      </c>
      <c r="B49" s="38" t="str">
        <f>IFERROR(_xlfn.XLOOKUP($B$47,'Inventory-Master'!$B:$B,'Inventory-Master'!$C:$C),"Select an item above")</f>
        <v>Office Equipment</v>
      </c>
    </row>
    <row r="50" ht="15" customHeight="1" spans="1:2">
      <c r="A50" s="37" t="s">
        <v>38</v>
      </c>
      <c r="B50" s="38" t="str">
        <f>IFERROR(_xlfn.XLOOKUP($B$47,'Inventory-Master'!$B:$B,'Inventory-Master'!$D:$D),"")</f>
        <v>Piece</v>
      </c>
    </row>
    <row r="51" ht="15" customHeight="1" spans="1:2">
      <c r="A51" s="37" t="s">
        <v>32</v>
      </c>
      <c r="B51" s="38">
        <f>IFERROR(_xlfn.XLOOKUP($B$47,'Inventory-Master'!$B:$B,'Inventory-Master'!$F:$F),"")</f>
        <v>30</v>
      </c>
    </row>
    <row r="52" ht="15" customHeight="1" spans="1:2">
      <c r="A52" s="37" t="s">
        <v>39</v>
      </c>
      <c r="B52" s="38">
        <f>IFERROR(_xlfn.XLOOKUP($B$47,'Inventory-Master'!$B:$B,'Inventory-Master'!$G:$G),"")</f>
        <v>35</v>
      </c>
    </row>
    <row r="53" ht="15" customHeight="1" spans="1:2">
      <c r="A53" s="37" t="s">
        <v>40</v>
      </c>
      <c r="B53" s="38" t="str">
        <f>IFERROR(_xlfn.XLOOKUP($B$47,'Inventory-Master'!$B:$B,'Inventory-Master'!$J:$J),"")</f>
        <v>Low Stock</v>
      </c>
    </row>
    <row r="54" ht="15" customHeight="1" spans="1:2">
      <c r="A54" s="37" t="s">
        <v>41</v>
      </c>
      <c r="B54" s="38" t="str">
        <f>IFERROR(_xlfn.XLOOKUP($B$47,'Inventory-Master'!$B:$B,'Inventory-Master'!$K:$K),"")</f>
        <v>Office Essentials Trading</v>
      </c>
    </row>
    <row r="55" ht="15" customHeight="1"/>
    <row r="57" ht="15" customHeight="1" spans="1:2">
      <c r="A57" s="39"/>
    </row>
    <row r="58" ht="15" customHeight="1"/>
    <row r="63" ht="21.75" customHeight="1"/>
    <row r="65" ht="15" customHeight="1" spans="9:9">
      <c r="I65" s="35"/>
    </row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5" ht="15" customHeight="1"/>
    <row r="76" ht="15" customHeight="1"/>
  </sheetData>
  <mergeCells count="12">
    <mergeCell ref="A4:B4"/>
    <mergeCell ref="C4:D4"/>
    <mergeCell ref="E4:F4"/>
    <mergeCell ref="A5:B5"/>
    <mergeCell ref="C5:D5"/>
    <mergeCell ref="E5:F5"/>
    <mergeCell ref="A7:B7"/>
    <mergeCell ref="C7:D7"/>
    <mergeCell ref="E7:F7"/>
    <mergeCell ref="H7:I7"/>
    <mergeCell ref="A26:F26"/>
    <mergeCell ref="A1:F2"/>
  </mergeCells>
  <conditionalFormatting sqref="A40:A44">
    <cfRule type="cellIs" dxfId="16" priority="1" operator="equal">
      <formula>""</formula>
    </cfRule>
  </conditionalFormatting>
  <conditionalFormatting sqref="A10:B17">
    <cfRule type="cellIs" dxfId="16" priority="5" operator="equal">
      <formula>""</formula>
    </cfRule>
  </conditionalFormatting>
  <conditionalFormatting sqref="A28:F37">
    <cfRule type="cellIs" dxfId="16" priority="8" operator="equal">
      <formula>""</formula>
    </cfRule>
  </conditionalFormatting>
  <dataValidations count="1">
    <dataValidation type="list" allowBlank="1" sqref="B47">
      <formula1>ItemList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E75B6"/>
  </sheetPr>
  <dimension ref="A1:L32"/>
  <sheetViews>
    <sheetView showGridLines="0" workbookViewId="0">
      <pane ySplit="2" topLeftCell="A3" activePane="bottomLeft" state="frozen"/>
      <selection/>
      <selection pane="bottomLeft" activeCell="K5" sqref="K5"/>
    </sheetView>
  </sheetViews>
  <sheetFormatPr defaultColWidth="8.67592592592593" defaultRowHeight="14.4"/>
  <cols>
    <col min="1" max="1" width="11" customWidth="1"/>
    <col min="2" max="2" width="24" customWidth="1"/>
    <col min="3" max="3" width="19" customWidth="1"/>
    <col min="4" max="4" width="9" customWidth="1"/>
    <col min="5" max="6" width="13" customWidth="1"/>
    <col min="7" max="7" width="12" customWidth="1"/>
    <col min="8" max="8" width="14" customWidth="1"/>
    <col min="9" max="9" width="18" customWidth="1"/>
    <col min="10" max="10" width="12" customWidth="1"/>
    <col min="11" max="11" width="22" customWidth="1"/>
    <col min="12" max="12" width="15" customWidth="1"/>
  </cols>
  <sheetData>
    <row r="1" ht="22.8" spans="1:12">
      <c r="A1" s="1" t="s">
        <v>42</v>
      </c>
      <c r="L1" s="1"/>
    </row>
    <row r="2" ht="27.75" customHeight="1" spans="1:12">
      <c r="A2" s="2" t="s">
        <v>30</v>
      </c>
      <c r="B2" s="2" t="s">
        <v>31</v>
      </c>
      <c r="C2" s="2" t="s">
        <v>12</v>
      </c>
      <c r="D2" s="2" t="s">
        <v>38</v>
      </c>
      <c r="E2" s="2" t="s">
        <v>33</v>
      </c>
      <c r="F2" s="2" t="s">
        <v>32</v>
      </c>
      <c r="G2" s="2" t="s">
        <v>39</v>
      </c>
      <c r="H2" s="2" t="s">
        <v>43</v>
      </c>
      <c r="I2" s="2" t="s">
        <v>44</v>
      </c>
      <c r="J2" s="2" t="s">
        <v>40</v>
      </c>
      <c r="K2" s="2" t="s">
        <v>41</v>
      </c>
      <c r="L2" s="2" t="s">
        <v>45</v>
      </c>
    </row>
    <row r="3" ht="15" customHeight="1" spans="1:12">
      <c r="A3" s="3" t="s">
        <v>46</v>
      </c>
      <c r="B3" s="5" t="s">
        <v>47</v>
      </c>
      <c r="C3" s="5" t="s">
        <v>2</v>
      </c>
      <c r="D3" s="3" t="s">
        <v>48</v>
      </c>
      <c r="E3" s="3">
        <v>5</v>
      </c>
      <c r="F3" s="3">
        <v>10</v>
      </c>
      <c r="G3" s="6">
        <v>130</v>
      </c>
      <c r="H3" s="6">
        <f t="shared" ref="H3:H32" si="0">F3*G3</f>
        <v>1300</v>
      </c>
      <c r="I3" s="3">
        <f t="shared" ref="I3:I32" si="1">IF(F3&lt;=E3,(E3*2)-F3,0)</f>
        <v>0</v>
      </c>
      <c r="J3" s="3" t="str">
        <f t="shared" ref="J3:J32" si="2">IF(F3&lt;=E3,"Low Stock",IF(F3&lt;=E3*1.5,"Monitor","OK"))</f>
        <v>OK</v>
      </c>
      <c r="K3" s="5" t="s">
        <v>49</v>
      </c>
      <c r="L3" s="4">
        <v>46086</v>
      </c>
    </row>
    <row r="4" ht="15" customHeight="1" spans="1:12">
      <c r="A4" s="3" t="s">
        <v>50</v>
      </c>
      <c r="B4" s="5" t="s">
        <v>51</v>
      </c>
      <c r="C4" s="5" t="s">
        <v>6</v>
      </c>
      <c r="D4" s="3" t="s">
        <v>52</v>
      </c>
      <c r="E4" s="3">
        <v>10</v>
      </c>
      <c r="F4" s="3">
        <v>20</v>
      </c>
      <c r="G4" s="6">
        <v>70</v>
      </c>
      <c r="H4" s="6">
        <f t="shared" si="0"/>
        <v>1400</v>
      </c>
      <c r="I4" s="3">
        <f t="shared" si="1"/>
        <v>0</v>
      </c>
      <c r="J4" s="3" t="str">
        <f t="shared" si="2"/>
        <v>OK</v>
      </c>
      <c r="K4" s="5" t="s">
        <v>53</v>
      </c>
      <c r="L4" s="4">
        <v>46133</v>
      </c>
    </row>
    <row r="5" ht="15" customHeight="1" spans="1:12">
      <c r="A5" s="3" t="s">
        <v>54</v>
      </c>
      <c r="B5" s="5" t="s">
        <v>37</v>
      </c>
      <c r="C5" s="5" t="s">
        <v>7</v>
      </c>
      <c r="D5" s="3" t="s">
        <v>55</v>
      </c>
      <c r="E5" s="3">
        <v>30</v>
      </c>
      <c r="F5" s="3">
        <v>30</v>
      </c>
      <c r="G5" s="6">
        <v>35</v>
      </c>
      <c r="H5" s="6">
        <f t="shared" si="0"/>
        <v>1050</v>
      </c>
      <c r="I5" s="3">
        <f t="shared" si="1"/>
        <v>30</v>
      </c>
      <c r="J5" s="3" t="str">
        <f t="shared" si="2"/>
        <v>Low Stock</v>
      </c>
      <c r="K5" s="5" t="s">
        <v>56</v>
      </c>
      <c r="L5" s="4">
        <v>46025</v>
      </c>
    </row>
    <row r="6" ht="15" customHeight="1" spans="1:12">
      <c r="A6" s="3" t="s">
        <v>57</v>
      </c>
      <c r="B6" s="5" t="s">
        <v>58</v>
      </c>
      <c r="C6" s="5" t="s">
        <v>7</v>
      </c>
      <c r="D6" s="3" t="s">
        <v>52</v>
      </c>
      <c r="E6" s="3">
        <v>30</v>
      </c>
      <c r="F6" s="3">
        <v>90</v>
      </c>
      <c r="G6" s="6">
        <v>40</v>
      </c>
      <c r="H6" s="6">
        <f t="shared" si="0"/>
        <v>3600</v>
      </c>
      <c r="I6" s="3">
        <f t="shared" si="1"/>
        <v>0</v>
      </c>
      <c r="J6" s="3" t="str">
        <f t="shared" si="2"/>
        <v>OK</v>
      </c>
      <c r="K6" s="5" t="s">
        <v>56</v>
      </c>
      <c r="L6" s="4">
        <v>46146</v>
      </c>
    </row>
    <row r="7" ht="15" customHeight="1" spans="1:12">
      <c r="A7" s="3" t="s">
        <v>59</v>
      </c>
      <c r="B7" s="5" t="s">
        <v>60</v>
      </c>
      <c r="C7" s="5" t="s">
        <v>6</v>
      </c>
      <c r="D7" s="3" t="s">
        <v>52</v>
      </c>
      <c r="E7" s="3">
        <v>5</v>
      </c>
      <c r="F7" s="3">
        <v>15</v>
      </c>
      <c r="G7" s="6">
        <v>100</v>
      </c>
      <c r="H7" s="6">
        <f t="shared" si="0"/>
        <v>1500</v>
      </c>
      <c r="I7" s="3">
        <f t="shared" si="1"/>
        <v>0</v>
      </c>
      <c r="J7" s="3" t="str">
        <f t="shared" si="2"/>
        <v>OK</v>
      </c>
      <c r="K7" s="5" t="s">
        <v>53</v>
      </c>
      <c r="L7" s="4">
        <v>46100</v>
      </c>
    </row>
    <row r="8" ht="15" customHeight="1" spans="1:12">
      <c r="A8" s="3" t="s">
        <v>61</v>
      </c>
      <c r="B8" s="5" t="s">
        <v>62</v>
      </c>
      <c r="C8" s="5" t="s">
        <v>6</v>
      </c>
      <c r="D8" s="3" t="s">
        <v>52</v>
      </c>
      <c r="E8" s="3">
        <v>10</v>
      </c>
      <c r="F8" s="3">
        <v>20</v>
      </c>
      <c r="G8" s="6">
        <v>50</v>
      </c>
      <c r="H8" s="6">
        <f t="shared" si="0"/>
        <v>1000</v>
      </c>
      <c r="I8" s="3">
        <f t="shared" si="1"/>
        <v>0</v>
      </c>
      <c r="J8" s="3" t="str">
        <f t="shared" si="2"/>
        <v>OK</v>
      </c>
      <c r="K8" s="5" t="s">
        <v>53</v>
      </c>
      <c r="L8" s="4">
        <v>46039</v>
      </c>
    </row>
    <row r="9" ht="15" customHeight="1" spans="1:12">
      <c r="A9" s="3" t="s">
        <v>63</v>
      </c>
      <c r="B9" s="5" t="s">
        <v>64</v>
      </c>
      <c r="C9" s="5" t="s">
        <v>6</v>
      </c>
      <c r="D9" s="3" t="s">
        <v>55</v>
      </c>
      <c r="E9" s="3">
        <v>30</v>
      </c>
      <c r="F9" s="3">
        <v>60</v>
      </c>
      <c r="G9" s="6">
        <v>48</v>
      </c>
      <c r="H9" s="6">
        <f t="shared" si="0"/>
        <v>2880</v>
      </c>
      <c r="I9" s="3">
        <f t="shared" si="1"/>
        <v>0</v>
      </c>
      <c r="J9" s="3" t="str">
        <f t="shared" si="2"/>
        <v>OK</v>
      </c>
      <c r="K9" s="5" t="s">
        <v>53</v>
      </c>
      <c r="L9" s="4">
        <v>46055</v>
      </c>
    </row>
    <row r="10" ht="15" customHeight="1" spans="1:12">
      <c r="A10" s="3" t="s">
        <v>65</v>
      </c>
      <c r="B10" s="5" t="s">
        <v>66</v>
      </c>
      <c r="C10" s="5" t="s">
        <v>6</v>
      </c>
      <c r="D10" s="3" t="s">
        <v>55</v>
      </c>
      <c r="E10" s="3">
        <v>30</v>
      </c>
      <c r="F10" s="3">
        <v>50</v>
      </c>
      <c r="G10" s="6">
        <v>15</v>
      </c>
      <c r="H10" s="6">
        <f t="shared" si="0"/>
        <v>750</v>
      </c>
      <c r="I10" s="3">
        <f t="shared" si="1"/>
        <v>0</v>
      </c>
      <c r="J10" s="3" t="str">
        <f t="shared" si="2"/>
        <v>OK</v>
      </c>
      <c r="K10" s="5" t="s">
        <v>53</v>
      </c>
      <c r="L10" s="4">
        <v>46036</v>
      </c>
    </row>
    <row r="11" ht="15" customHeight="1" spans="1:12">
      <c r="A11" s="3" t="s">
        <v>67</v>
      </c>
      <c r="B11" s="5" t="s">
        <v>68</v>
      </c>
      <c r="C11" s="5" t="s">
        <v>6</v>
      </c>
      <c r="D11" s="3" t="s">
        <v>55</v>
      </c>
      <c r="E11" s="3">
        <v>30</v>
      </c>
      <c r="F11" s="3">
        <v>55</v>
      </c>
      <c r="G11" s="6">
        <v>15</v>
      </c>
      <c r="H11" s="6">
        <f t="shared" si="0"/>
        <v>825</v>
      </c>
      <c r="I11" s="3">
        <f t="shared" si="1"/>
        <v>0</v>
      </c>
      <c r="J11" s="3" t="str">
        <f t="shared" si="2"/>
        <v>OK</v>
      </c>
      <c r="K11" s="5" t="s">
        <v>53</v>
      </c>
      <c r="L11" s="4">
        <v>46115</v>
      </c>
    </row>
    <row r="12" ht="15" customHeight="1" spans="1:12">
      <c r="A12" s="3" t="s">
        <v>69</v>
      </c>
      <c r="B12" s="5" t="s">
        <v>70</v>
      </c>
      <c r="C12" s="5" t="s">
        <v>7</v>
      </c>
      <c r="D12" s="3" t="s">
        <v>55</v>
      </c>
      <c r="E12" s="3">
        <v>30</v>
      </c>
      <c r="F12" s="3">
        <v>90</v>
      </c>
      <c r="G12" s="6">
        <v>15</v>
      </c>
      <c r="H12" s="6">
        <f t="shared" si="0"/>
        <v>1350</v>
      </c>
      <c r="I12" s="3">
        <f t="shared" si="1"/>
        <v>0</v>
      </c>
      <c r="J12" s="3" t="str">
        <f t="shared" si="2"/>
        <v>OK</v>
      </c>
      <c r="K12" s="5" t="s">
        <v>56</v>
      </c>
      <c r="L12" s="4">
        <v>46056</v>
      </c>
    </row>
    <row r="13" ht="15" customHeight="1" spans="1:12">
      <c r="A13" s="3" t="s">
        <v>71</v>
      </c>
      <c r="B13" s="5" t="s">
        <v>72</v>
      </c>
      <c r="C13" s="5" t="s">
        <v>7</v>
      </c>
      <c r="D13" s="3" t="s">
        <v>73</v>
      </c>
      <c r="E13" s="3">
        <v>5</v>
      </c>
      <c r="F13" s="3">
        <v>15</v>
      </c>
      <c r="G13" s="6">
        <v>45</v>
      </c>
      <c r="H13" s="6">
        <f t="shared" si="0"/>
        <v>675</v>
      </c>
      <c r="I13" s="3">
        <f t="shared" si="1"/>
        <v>0</v>
      </c>
      <c r="J13" s="3" t="str">
        <f t="shared" si="2"/>
        <v>OK</v>
      </c>
      <c r="K13" s="5" t="s">
        <v>56</v>
      </c>
      <c r="L13" s="4">
        <v>46156</v>
      </c>
    </row>
    <row r="14" ht="15" customHeight="1" spans="1:12">
      <c r="A14" s="3" t="s">
        <v>74</v>
      </c>
      <c r="B14" s="5" t="s">
        <v>75</v>
      </c>
      <c r="C14" s="5" t="s">
        <v>7</v>
      </c>
      <c r="D14" s="3" t="s">
        <v>55</v>
      </c>
      <c r="E14" s="3">
        <v>30</v>
      </c>
      <c r="F14" s="3">
        <v>40</v>
      </c>
      <c r="G14" s="6">
        <v>10</v>
      </c>
      <c r="H14" s="6">
        <f t="shared" si="0"/>
        <v>400</v>
      </c>
      <c r="I14" s="3">
        <f t="shared" si="1"/>
        <v>0</v>
      </c>
      <c r="J14" s="3" t="str">
        <f t="shared" si="2"/>
        <v>Monitor</v>
      </c>
      <c r="K14" s="5" t="s">
        <v>56</v>
      </c>
      <c r="L14" s="4">
        <v>46049</v>
      </c>
    </row>
    <row r="15" ht="15" customHeight="1" spans="1:12">
      <c r="A15" s="3" t="s">
        <v>76</v>
      </c>
      <c r="B15" s="5" t="s">
        <v>77</v>
      </c>
      <c r="C15" s="5" t="s">
        <v>7</v>
      </c>
      <c r="D15" s="3" t="s">
        <v>52</v>
      </c>
      <c r="E15" s="3">
        <v>5</v>
      </c>
      <c r="F15" s="3">
        <v>15</v>
      </c>
      <c r="G15" s="6">
        <v>35</v>
      </c>
      <c r="H15" s="6">
        <f t="shared" si="0"/>
        <v>525</v>
      </c>
      <c r="I15" s="3">
        <f t="shared" si="1"/>
        <v>0</v>
      </c>
      <c r="J15" s="3" t="str">
        <f t="shared" si="2"/>
        <v>OK</v>
      </c>
      <c r="K15" s="5" t="s">
        <v>56</v>
      </c>
      <c r="L15" s="4">
        <v>46146</v>
      </c>
    </row>
    <row r="16" ht="15" customHeight="1" spans="1:12">
      <c r="A16" s="3" t="s">
        <v>78</v>
      </c>
      <c r="B16" s="5" t="s">
        <v>79</v>
      </c>
      <c r="C16" s="5" t="s">
        <v>7</v>
      </c>
      <c r="D16" s="3" t="s">
        <v>52</v>
      </c>
      <c r="E16" s="3">
        <v>20</v>
      </c>
      <c r="F16" s="3">
        <v>50</v>
      </c>
      <c r="G16" s="6">
        <v>45</v>
      </c>
      <c r="H16" s="6">
        <f t="shared" si="0"/>
        <v>2250</v>
      </c>
      <c r="I16" s="3">
        <f t="shared" si="1"/>
        <v>0</v>
      </c>
      <c r="J16" s="3" t="str">
        <f t="shared" si="2"/>
        <v>OK</v>
      </c>
      <c r="K16" s="5" t="s">
        <v>56</v>
      </c>
      <c r="L16" s="4">
        <v>46074</v>
      </c>
    </row>
    <row r="17" ht="15" customHeight="1" spans="1:12">
      <c r="A17" s="3" t="s">
        <v>80</v>
      </c>
      <c r="B17" s="5" t="s">
        <v>81</v>
      </c>
      <c r="C17" s="5" t="s">
        <v>7</v>
      </c>
      <c r="D17" s="3" t="s">
        <v>52</v>
      </c>
      <c r="E17" s="3">
        <v>10</v>
      </c>
      <c r="F17" s="3">
        <v>20</v>
      </c>
      <c r="G17" s="6">
        <v>45</v>
      </c>
      <c r="H17" s="6">
        <f t="shared" si="0"/>
        <v>900</v>
      </c>
      <c r="I17" s="3">
        <f t="shared" si="1"/>
        <v>0</v>
      </c>
      <c r="J17" s="3" t="str">
        <f t="shared" si="2"/>
        <v>OK</v>
      </c>
      <c r="K17" s="5" t="s">
        <v>56</v>
      </c>
      <c r="L17" s="4">
        <v>46192</v>
      </c>
    </row>
    <row r="18" ht="15" customHeight="1" spans="1:12">
      <c r="A18" s="3" t="s">
        <v>82</v>
      </c>
      <c r="B18" s="5" t="s">
        <v>83</v>
      </c>
      <c r="C18" s="5" t="s">
        <v>8</v>
      </c>
      <c r="D18" s="3" t="s">
        <v>52</v>
      </c>
      <c r="E18" s="3">
        <v>5</v>
      </c>
      <c r="F18" s="3">
        <v>10</v>
      </c>
      <c r="G18" s="6">
        <v>380</v>
      </c>
      <c r="H18" s="6">
        <f t="shared" si="0"/>
        <v>3800</v>
      </c>
      <c r="I18" s="3">
        <f t="shared" si="1"/>
        <v>0</v>
      </c>
      <c r="J18" s="3" t="str">
        <f t="shared" si="2"/>
        <v>OK</v>
      </c>
      <c r="K18" s="5" t="s">
        <v>84</v>
      </c>
      <c r="L18" s="4">
        <v>46041</v>
      </c>
    </row>
    <row r="19" ht="15" customHeight="1" spans="1:12">
      <c r="A19" s="3" t="s">
        <v>85</v>
      </c>
      <c r="B19" s="5" t="s">
        <v>86</v>
      </c>
      <c r="C19" s="5" t="s">
        <v>8</v>
      </c>
      <c r="D19" s="3" t="s">
        <v>55</v>
      </c>
      <c r="E19" s="3">
        <v>10</v>
      </c>
      <c r="F19" s="3">
        <v>15</v>
      </c>
      <c r="G19" s="6">
        <v>150</v>
      </c>
      <c r="H19" s="6">
        <f t="shared" si="0"/>
        <v>2250</v>
      </c>
      <c r="I19" s="3">
        <f t="shared" si="1"/>
        <v>0</v>
      </c>
      <c r="J19" s="3" t="str">
        <f t="shared" si="2"/>
        <v>Monitor</v>
      </c>
      <c r="K19" s="5" t="s">
        <v>84</v>
      </c>
      <c r="L19" s="4">
        <v>46155</v>
      </c>
    </row>
    <row r="20" ht="15" customHeight="1" spans="1:12">
      <c r="A20" s="3" t="s">
        <v>87</v>
      </c>
      <c r="B20" s="5" t="s">
        <v>88</v>
      </c>
      <c r="C20" s="5" t="s">
        <v>8</v>
      </c>
      <c r="D20" s="3" t="s">
        <v>52</v>
      </c>
      <c r="E20" s="3">
        <v>5</v>
      </c>
      <c r="F20" s="3">
        <v>15</v>
      </c>
      <c r="G20" s="6">
        <v>750</v>
      </c>
      <c r="H20" s="6">
        <f t="shared" si="0"/>
        <v>11250</v>
      </c>
      <c r="I20" s="3">
        <f t="shared" si="1"/>
        <v>0</v>
      </c>
      <c r="J20" s="3" t="str">
        <f t="shared" si="2"/>
        <v>OK</v>
      </c>
      <c r="K20" s="5" t="s">
        <v>84</v>
      </c>
      <c r="L20" s="4">
        <v>46030</v>
      </c>
    </row>
    <row r="21" ht="15" customHeight="1" spans="1:12">
      <c r="A21" s="3" t="s">
        <v>89</v>
      </c>
      <c r="B21" s="5" t="s">
        <v>90</v>
      </c>
      <c r="C21" s="5" t="s">
        <v>2</v>
      </c>
      <c r="D21" s="3" t="s">
        <v>73</v>
      </c>
      <c r="E21" s="3">
        <v>10</v>
      </c>
      <c r="F21" s="3">
        <v>30</v>
      </c>
      <c r="G21" s="6">
        <v>150</v>
      </c>
      <c r="H21" s="6">
        <f t="shared" si="0"/>
        <v>4500</v>
      </c>
      <c r="I21" s="3">
        <f t="shared" si="1"/>
        <v>0</v>
      </c>
      <c r="J21" s="3" t="str">
        <f t="shared" si="2"/>
        <v>OK</v>
      </c>
      <c r="K21" s="5" t="s">
        <v>49</v>
      </c>
      <c r="L21" s="4">
        <v>46040</v>
      </c>
    </row>
    <row r="22" ht="15" customHeight="1" spans="1:12">
      <c r="A22" s="3" t="s">
        <v>91</v>
      </c>
      <c r="B22" s="5" t="s">
        <v>92</v>
      </c>
      <c r="C22" s="5" t="s">
        <v>10</v>
      </c>
      <c r="D22" s="3" t="s">
        <v>73</v>
      </c>
      <c r="E22" s="3">
        <v>10</v>
      </c>
      <c r="F22" s="3">
        <v>30</v>
      </c>
      <c r="G22" s="6">
        <v>35</v>
      </c>
      <c r="H22" s="6">
        <f t="shared" si="0"/>
        <v>1050</v>
      </c>
      <c r="I22" s="3">
        <f t="shared" si="1"/>
        <v>0</v>
      </c>
      <c r="J22" s="3" t="str">
        <f t="shared" si="2"/>
        <v>OK</v>
      </c>
      <c r="K22" s="5" t="s">
        <v>93</v>
      </c>
      <c r="L22" s="4">
        <v>46063</v>
      </c>
    </row>
    <row r="23" ht="15" customHeight="1" spans="1:12">
      <c r="A23" s="3" t="s">
        <v>94</v>
      </c>
      <c r="B23" s="5" t="s">
        <v>95</v>
      </c>
      <c r="C23" s="5" t="s">
        <v>10</v>
      </c>
      <c r="D23" s="3" t="s">
        <v>55</v>
      </c>
      <c r="E23" s="3">
        <v>15</v>
      </c>
      <c r="F23" s="3">
        <v>15</v>
      </c>
      <c r="G23" s="6">
        <v>25</v>
      </c>
      <c r="H23" s="6">
        <f t="shared" si="0"/>
        <v>375</v>
      </c>
      <c r="I23" s="3">
        <f t="shared" si="1"/>
        <v>15</v>
      </c>
      <c r="J23" s="3" t="str">
        <f t="shared" si="2"/>
        <v>Low Stock</v>
      </c>
      <c r="K23" s="5" t="s">
        <v>93</v>
      </c>
      <c r="L23" s="4">
        <v>46117</v>
      </c>
    </row>
    <row r="24" ht="15" customHeight="1" spans="1:12">
      <c r="A24" s="3" t="s">
        <v>96</v>
      </c>
      <c r="B24" s="5" t="s">
        <v>97</v>
      </c>
      <c r="C24" s="5" t="s">
        <v>11</v>
      </c>
      <c r="D24" s="3" t="s">
        <v>52</v>
      </c>
      <c r="E24" s="3">
        <v>5</v>
      </c>
      <c r="F24" s="3">
        <v>8</v>
      </c>
      <c r="G24" s="6">
        <v>100</v>
      </c>
      <c r="H24" s="6">
        <f t="shared" si="0"/>
        <v>800</v>
      </c>
      <c r="I24" s="3">
        <f t="shared" si="1"/>
        <v>0</v>
      </c>
      <c r="J24" s="3" t="str">
        <f t="shared" si="2"/>
        <v>OK</v>
      </c>
      <c r="K24" s="5" t="s">
        <v>98</v>
      </c>
      <c r="L24" s="4">
        <v>46146</v>
      </c>
    </row>
    <row r="25" ht="15" customHeight="1" spans="1:12">
      <c r="A25" s="3" t="s">
        <v>99</v>
      </c>
      <c r="B25" s="5" t="s">
        <v>100</v>
      </c>
      <c r="C25" s="5" t="s">
        <v>11</v>
      </c>
      <c r="D25" s="3" t="s">
        <v>52</v>
      </c>
      <c r="E25" s="3">
        <v>5</v>
      </c>
      <c r="F25" s="3">
        <v>9</v>
      </c>
      <c r="G25" s="6">
        <v>100</v>
      </c>
      <c r="H25" s="6">
        <f t="shared" si="0"/>
        <v>900</v>
      </c>
      <c r="I25" s="3">
        <f t="shared" si="1"/>
        <v>0</v>
      </c>
      <c r="J25" s="3" t="str">
        <f t="shared" si="2"/>
        <v>OK</v>
      </c>
      <c r="K25" s="5" t="s">
        <v>98</v>
      </c>
      <c r="L25" s="4">
        <v>46152</v>
      </c>
    </row>
    <row r="26" ht="15" customHeight="1" spans="1:12">
      <c r="A26" s="3" t="s">
        <v>101</v>
      </c>
      <c r="B26" s="5" t="s">
        <v>102</v>
      </c>
      <c r="C26" s="5" t="s">
        <v>11</v>
      </c>
      <c r="D26" s="3" t="s">
        <v>52</v>
      </c>
      <c r="E26" s="3">
        <v>5</v>
      </c>
      <c r="F26" s="3">
        <v>9</v>
      </c>
      <c r="G26" s="6">
        <v>100</v>
      </c>
      <c r="H26" s="6">
        <f t="shared" si="0"/>
        <v>900</v>
      </c>
      <c r="I26" s="3">
        <f t="shared" si="1"/>
        <v>0</v>
      </c>
      <c r="J26" s="3" t="str">
        <f t="shared" si="2"/>
        <v>OK</v>
      </c>
      <c r="K26" s="5" t="s">
        <v>98</v>
      </c>
      <c r="L26" s="4">
        <v>46169</v>
      </c>
    </row>
    <row r="27" ht="15" customHeight="1" spans="1:12">
      <c r="A27" s="3" t="s">
        <v>103</v>
      </c>
      <c r="B27" s="5" t="s">
        <v>104</v>
      </c>
      <c r="C27" s="5" t="s">
        <v>11</v>
      </c>
      <c r="D27" s="3" t="s">
        <v>52</v>
      </c>
      <c r="E27" s="3">
        <v>5</v>
      </c>
      <c r="F27" s="3">
        <v>9</v>
      </c>
      <c r="G27" s="6">
        <v>100</v>
      </c>
      <c r="H27" s="6">
        <f t="shared" si="0"/>
        <v>900</v>
      </c>
      <c r="I27" s="3">
        <f t="shared" si="1"/>
        <v>0</v>
      </c>
      <c r="J27" s="3" t="str">
        <f t="shared" si="2"/>
        <v>OK</v>
      </c>
      <c r="K27" s="5" t="s">
        <v>98</v>
      </c>
      <c r="L27" s="4">
        <v>46179</v>
      </c>
    </row>
    <row r="28" ht="15" customHeight="1" spans="1:12">
      <c r="A28" s="3" t="s">
        <v>105</v>
      </c>
      <c r="B28" s="5" t="s">
        <v>106</v>
      </c>
      <c r="C28" s="5" t="s">
        <v>11</v>
      </c>
      <c r="D28" s="3" t="s">
        <v>55</v>
      </c>
      <c r="E28" s="3">
        <v>5</v>
      </c>
      <c r="F28" s="3">
        <v>5</v>
      </c>
      <c r="G28" s="6">
        <v>3000</v>
      </c>
      <c r="H28" s="6">
        <f t="shared" si="0"/>
        <v>15000</v>
      </c>
      <c r="I28" s="3">
        <f t="shared" si="1"/>
        <v>5</v>
      </c>
      <c r="J28" s="3" t="str">
        <f t="shared" si="2"/>
        <v>Low Stock</v>
      </c>
      <c r="K28" s="5" t="s">
        <v>98</v>
      </c>
      <c r="L28" s="4">
        <v>46041</v>
      </c>
    </row>
    <row r="29" ht="15" customHeight="1" spans="1:12">
      <c r="A29" s="3" t="s">
        <v>107</v>
      </c>
      <c r="B29" s="5" t="s">
        <v>108</v>
      </c>
      <c r="C29" s="5" t="s">
        <v>23</v>
      </c>
      <c r="D29" s="3" t="s">
        <v>52</v>
      </c>
      <c r="E29" s="3">
        <v>5</v>
      </c>
      <c r="F29" s="3">
        <v>10</v>
      </c>
      <c r="G29" s="6">
        <v>600</v>
      </c>
      <c r="H29" s="6">
        <f t="shared" si="0"/>
        <v>6000</v>
      </c>
      <c r="I29" s="3">
        <f t="shared" si="1"/>
        <v>0</v>
      </c>
      <c r="J29" s="3" t="str">
        <f t="shared" si="2"/>
        <v>OK</v>
      </c>
      <c r="K29" s="5" t="s">
        <v>109</v>
      </c>
      <c r="L29" s="4">
        <v>46163</v>
      </c>
    </row>
    <row r="30" ht="15" customHeight="1" spans="1:12">
      <c r="A30" s="3" t="s">
        <v>110</v>
      </c>
      <c r="B30" s="5" t="s">
        <v>111</v>
      </c>
      <c r="C30" s="5" t="s">
        <v>25</v>
      </c>
      <c r="D30" s="3" t="s">
        <v>48</v>
      </c>
      <c r="E30" s="3">
        <v>2</v>
      </c>
      <c r="F30" s="3">
        <v>5</v>
      </c>
      <c r="G30" s="6">
        <v>200</v>
      </c>
      <c r="H30" s="6">
        <f t="shared" si="0"/>
        <v>1000</v>
      </c>
      <c r="I30" s="3">
        <f t="shared" si="1"/>
        <v>0</v>
      </c>
      <c r="J30" s="3" t="str">
        <f t="shared" si="2"/>
        <v>OK</v>
      </c>
      <c r="K30" s="5" t="s">
        <v>112</v>
      </c>
      <c r="L30" s="4">
        <v>46065</v>
      </c>
    </row>
    <row r="31" ht="15" customHeight="1" spans="1:12">
      <c r="A31" s="3" t="s">
        <v>113</v>
      </c>
      <c r="B31" s="5" t="s">
        <v>114</v>
      </c>
      <c r="C31" s="5" t="s">
        <v>25</v>
      </c>
      <c r="D31" s="3" t="s">
        <v>115</v>
      </c>
      <c r="E31" s="3">
        <v>20</v>
      </c>
      <c r="F31" s="3">
        <v>45</v>
      </c>
      <c r="G31" s="6">
        <v>40</v>
      </c>
      <c r="H31" s="6">
        <f t="shared" si="0"/>
        <v>1800</v>
      </c>
      <c r="I31" s="3">
        <f t="shared" si="1"/>
        <v>0</v>
      </c>
      <c r="J31" s="3" t="str">
        <f t="shared" si="2"/>
        <v>OK</v>
      </c>
      <c r="K31" s="5" t="s">
        <v>112</v>
      </c>
      <c r="L31" s="4">
        <v>46040</v>
      </c>
    </row>
    <row r="32" ht="15" customHeight="1" spans="1:12">
      <c r="A32" s="3" t="s">
        <v>116</v>
      </c>
      <c r="B32" s="5" t="s">
        <v>117</v>
      </c>
      <c r="C32" s="5" t="s">
        <v>7</v>
      </c>
      <c r="D32" s="3" t="s">
        <v>55</v>
      </c>
      <c r="E32" s="3">
        <v>10</v>
      </c>
      <c r="F32" s="3">
        <v>10</v>
      </c>
      <c r="G32" s="6">
        <v>400</v>
      </c>
      <c r="H32" s="6">
        <f t="shared" si="0"/>
        <v>4000</v>
      </c>
      <c r="I32" s="3">
        <f t="shared" si="1"/>
        <v>10</v>
      </c>
      <c r="J32" s="3" t="str">
        <f t="shared" si="2"/>
        <v>Low Stock</v>
      </c>
      <c r="K32" s="5" t="s">
        <v>56</v>
      </c>
      <c r="L32" s="4">
        <v>46176</v>
      </c>
    </row>
  </sheetData>
  <mergeCells count="1">
    <mergeCell ref="A1:K1"/>
  </mergeCells>
  <conditionalFormatting sqref="J3:J32">
    <cfRule type="cellIs" dxfId="17" priority="2" operator="equal">
      <formula>"Low Stock"</formula>
    </cfRule>
    <cfRule type="cellIs" dxfId="18" priority="3" operator="equal">
      <formula>"Monitor"</formula>
    </cfRule>
    <cfRule type="cellIs" dxfId="19" priority="4" operator="equal">
      <formula>"OK"</formula>
    </cfRule>
  </conditionalFormatting>
  <dataValidations count="3">
    <dataValidation type="list" sqref="C3:C32">
      <formula1>CategoryList</formula1>
    </dataValidation>
    <dataValidation type="list" sqref="D3:D32">
      <formula1>UnitList</formula1>
    </dataValidation>
    <dataValidation type="list" allowBlank="1" sqref="K3:K32">
      <formula1>SupplierList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548235"/>
  </sheetPr>
  <dimension ref="A1:J47"/>
  <sheetViews>
    <sheetView showGridLines="0" workbookViewId="0">
      <pane ySplit="2" topLeftCell="A7" activePane="bottomLeft" state="frozen"/>
      <selection/>
      <selection pane="bottomLeft" activeCell="F14" sqref="A3:J47"/>
    </sheetView>
  </sheetViews>
  <sheetFormatPr defaultColWidth="8.67592592592593" defaultRowHeight="14.4"/>
  <cols>
    <col min="1" max="1" width="11" customWidth="1"/>
    <col min="2" max="2" width="13" customWidth="1"/>
    <col min="3" max="3" width="22" customWidth="1"/>
    <col min="4" max="4" width="18" customWidth="1"/>
    <col min="5" max="5" width="12" customWidth="1"/>
    <col min="6" max="6" width="15" customWidth="1"/>
    <col min="7" max="7" width="12" customWidth="1"/>
    <col min="8" max="8" width="13" customWidth="1"/>
    <col min="9" max="9" width="16" customWidth="1"/>
    <col min="10" max="10" width="30" customWidth="1"/>
  </cols>
  <sheetData>
    <row r="1" ht="31.5" customHeight="1" spans="1:10">
      <c r="A1" s="1" t="s">
        <v>118</v>
      </c>
    </row>
    <row r="2" ht="27.75" customHeight="1" spans="1:10">
      <c r="A2" s="2" t="s">
        <v>119</v>
      </c>
      <c r="B2" s="2" t="s">
        <v>120</v>
      </c>
      <c r="C2" s="2" t="s">
        <v>121</v>
      </c>
      <c r="D2" s="2" t="s">
        <v>12</v>
      </c>
      <c r="E2" s="2" t="s">
        <v>14</v>
      </c>
      <c r="F2" s="2" t="s">
        <v>122</v>
      </c>
      <c r="G2" s="2" t="s">
        <v>39</v>
      </c>
      <c r="H2" s="2" t="s">
        <v>123</v>
      </c>
      <c r="I2" s="2" t="s">
        <v>124</v>
      </c>
      <c r="J2" s="2" t="s">
        <v>125</v>
      </c>
    </row>
    <row r="3" ht="15" customHeight="1" spans="1:10">
      <c r="A3" s="3" t="s">
        <v>126</v>
      </c>
      <c r="B3" s="4">
        <v>46030</v>
      </c>
      <c r="C3" s="5" t="s">
        <v>47</v>
      </c>
      <c r="D3" s="3" t="str">
        <f>IFERROR(INDEX('Inventory-Master'!$C$3:$C$32,MATCH(C3,'Inventory-Master'!$B$3:$B$32,0)),"")</f>
        <v>Paper Products</v>
      </c>
      <c r="E3" s="3" t="s">
        <v>20</v>
      </c>
      <c r="F3" s="3">
        <v>15</v>
      </c>
      <c r="G3" s="6">
        <f>IFERROR(INDEX('Inventory-Master'!$G$3:$G$32,MATCH(C3,'Inventory-Master'!$B$3:$B$32,0)),0)</f>
        <v>130</v>
      </c>
      <c r="H3" s="6">
        <f t="shared" ref="H3:H47" si="0">F3*G3</f>
        <v>1950</v>
      </c>
      <c r="I3" s="5" t="s">
        <v>127</v>
      </c>
      <c r="J3" s="5" t="s">
        <v>128</v>
      </c>
    </row>
    <row r="4" ht="15" customHeight="1" spans="1:10">
      <c r="A4" s="3" t="s">
        <v>129</v>
      </c>
      <c r="B4" s="4">
        <v>46081</v>
      </c>
      <c r="C4" s="5" t="s">
        <v>37</v>
      </c>
      <c r="D4" s="3" t="str">
        <f>IFERROR(INDEX('Inventory-Master'!$C$3:$C$32,MATCH(C4,'Inventory-Master'!$B$3:$B$32,0)),"")</f>
        <v>Office Equipment</v>
      </c>
      <c r="E4" s="3" t="s">
        <v>21</v>
      </c>
      <c r="F4" s="3">
        <v>10</v>
      </c>
      <c r="G4" s="6">
        <f>IFERROR(INDEX('Inventory-Master'!$G$3:$G$32,MATCH(C4,'Inventory-Master'!$B$3:$B$32,0)),0)</f>
        <v>35</v>
      </c>
      <c r="H4" s="6">
        <f t="shared" si="0"/>
        <v>350</v>
      </c>
      <c r="I4" s="5" t="s">
        <v>130</v>
      </c>
      <c r="J4" s="5" t="s">
        <v>131</v>
      </c>
    </row>
    <row r="5" ht="15" customHeight="1" spans="1:10">
      <c r="A5" s="3" t="s">
        <v>132</v>
      </c>
      <c r="B5" s="4">
        <v>46094</v>
      </c>
      <c r="C5" s="5" t="s">
        <v>97</v>
      </c>
      <c r="D5" s="3" t="str">
        <f>IFERROR(INDEX('Inventory-Master'!$C$3:$C$32,MATCH(C5,'Inventory-Master'!$B$3:$B$32,0)),"")</f>
        <v>Printing Supplies</v>
      </c>
      <c r="E5" s="3" t="s">
        <v>22</v>
      </c>
      <c r="F5" s="3">
        <v>1</v>
      </c>
      <c r="G5" s="6">
        <f>IFERROR(INDEX('Inventory-Master'!$G$3:$G$32,MATCH(C5,'Inventory-Master'!$B$3:$B$32,0)),0)</f>
        <v>100</v>
      </c>
      <c r="H5" s="6">
        <f t="shared" si="0"/>
        <v>100</v>
      </c>
      <c r="I5" s="5" t="s">
        <v>133</v>
      </c>
      <c r="J5" s="5" t="s">
        <v>128</v>
      </c>
    </row>
    <row r="6" ht="15" customHeight="1" spans="1:10">
      <c r="A6" s="3" t="s">
        <v>134</v>
      </c>
      <c r="B6" s="4">
        <v>46118</v>
      </c>
      <c r="C6" s="5" t="s">
        <v>90</v>
      </c>
      <c r="D6" s="3" t="str">
        <f>IFERROR(INDEX('Inventory-Master'!$C$3:$C$32,MATCH(C6,'Inventory-Master'!$B$3:$B$32,0)),"")</f>
        <v>Paper Products</v>
      </c>
      <c r="E6" s="3" t="s">
        <v>21</v>
      </c>
      <c r="F6" s="3">
        <v>1</v>
      </c>
      <c r="G6" s="6">
        <f>IFERROR(INDEX('Inventory-Master'!$G$3:$G$32,MATCH(C6,'Inventory-Master'!$B$3:$B$32,0)),0)</f>
        <v>150</v>
      </c>
      <c r="H6" s="6">
        <f t="shared" si="0"/>
        <v>150</v>
      </c>
      <c r="I6" s="5" t="s">
        <v>133</v>
      </c>
      <c r="J6" s="5" t="s">
        <v>131</v>
      </c>
    </row>
    <row r="7" ht="15" customHeight="1" spans="1:10">
      <c r="A7" s="3" t="s">
        <v>135</v>
      </c>
      <c r="B7" s="4">
        <v>46156</v>
      </c>
      <c r="C7" s="5" t="s">
        <v>75</v>
      </c>
      <c r="D7" s="3" t="str">
        <f>IFERROR(INDEX('Inventory-Master'!$C$3:$C$32,MATCH(C7,'Inventory-Master'!$B$3:$B$32,0)),"")</f>
        <v>Office Equipment</v>
      </c>
      <c r="E7" s="3" t="s">
        <v>22</v>
      </c>
      <c r="F7" s="3">
        <v>15</v>
      </c>
      <c r="G7" s="6">
        <f>IFERROR(INDEX('Inventory-Master'!$G$3:$G$32,MATCH(C7,'Inventory-Master'!$B$3:$B$32,0)),0)</f>
        <v>10</v>
      </c>
      <c r="H7" s="6">
        <f t="shared" si="0"/>
        <v>150</v>
      </c>
      <c r="I7" s="5" t="s">
        <v>130</v>
      </c>
      <c r="J7" s="5" t="s">
        <v>131</v>
      </c>
    </row>
    <row r="8" ht="15" customHeight="1" spans="1:10">
      <c r="A8" s="3" t="s">
        <v>136</v>
      </c>
      <c r="B8" s="4">
        <v>46177</v>
      </c>
      <c r="C8" s="5" t="s">
        <v>77</v>
      </c>
      <c r="D8" s="3" t="str">
        <f>IFERROR(INDEX('Inventory-Master'!$C$3:$C$32,MATCH(C8,'Inventory-Master'!$B$3:$B$32,0)),"")</f>
        <v>Office Equipment</v>
      </c>
      <c r="E8" s="3" t="s">
        <v>20</v>
      </c>
      <c r="F8" s="3">
        <v>8</v>
      </c>
      <c r="G8" s="6">
        <f>IFERROR(INDEX('Inventory-Master'!$G$3:$G$32,MATCH(C8,'Inventory-Master'!$B$3:$B$32,0)),0)</f>
        <v>35</v>
      </c>
      <c r="H8" s="6">
        <f t="shared" si="0"/>
        <v>280</v>
      </c>
      <c r="I8" s="5" t="s">
        <v>133</v>
      </c>
      <c r="J8" s="5" t="s">
        <v>137</v>
      </c>
    </row>
    <row r="9" ht="15" customHeight="1" spans="1:10">
      <c r="A9" s="3" t="s">
        <v>138</v>
      </c>
      <c r="B9" s="4">
        <v>46036</v>
      </c>
      <c r="C9" s="5" t="s">
        <v>47</v>
      </c>
      <c r="D9" s="3" t="str">
        <f>IFERROR(INDEX('Inventory-Master'!$C$3:$C$32,MATCH(C9,'Inventory-Master'!$B$3:$B$32,0)),"")</f>
        <v>Paper Products</v>
      </c>
      <c r="E9" s="3" t="s">
        <v>20</v>
      </c>
      <c r="F9" s="3">
        <v>10</v>
      </c>
      <c r="G9" s="6">
        <f>IFERROR(INDEX('Inventory-Master'!$G$3:$G$32,MATCH(C9,'Inventory-Master'!$B$3:$B$32,0)),0)</f>
        <v>130</v>
      </c>
      <c r="H9" s="6">
        <f t="shared" si="0"/>
        <v>1300</v>
      </c>
      <c r="I9" s="5" t="s">
        <v>127</v>
      </c>
      <c r="J9" s="5" t="s">
        <v>139</v>
      </c>
    </row>
    <row r="10" ht="15" customHeight="1" spans="1:10">
      <c r="A10" s="3" t="s">
        <v>140</v>
      </c>
      <c r="B10" s="4">
        <v>46075</v>
      </c>
      <c r="C10" s="5" t="s">
        <v>117</v>
      </c>
      <c r="D10" s="3" t="str">
        <f>IFERROR(INDEX('Inventory-Master'!$C$3:$C$32,MATCH(C10,'Inventory-Master'!$B$3:$B$32,0)),"")</f>
        <v>Office Equipment</v>
      </c>
      <c r="E10" s="3" t="s">
        <v>22</v>
      </c>
      <c r="F10" s="3">
        <v>10</v>
      </c>
      <c r="G10" s="6">
        <f>IFERROR(INDEX('Inventory-Master'!$G$3:$G$32,MATCH(C10,'Inventory-Master'!$B$3:$B$32,0)),0)</f>
        <v>400</v>
      </c>
      <c r="H10" s="6">
        <f t="shared" si="0"/>
        <v>4000</v>
      </c>
      <c r="I10" s="5" t="s">
        <v>130</v>
      </c>
      <c r="J10" s="5" t="s">
        <v>139</v>
      </c>
    </row>
    <row r="11" ht="15" customHeight="1" spans="1:10">
      <c r="A11" s="3" t="s">
        <v>141</v>
      </c>
      <c r="B11" s="4">
        <v>46105</v>
      </c>
      <c r="C11" s="5" t="s">
        <v>114</v>
      </c>
      <c r="D11" s="3" t="str">
        <f>IFERROR(INDEX('Inventory-Master'!$C$3:$C$32,MATCH(C11,'Inventory-Master'!$B$3:$B$32,0)),"")</f>
        <v>Packaging Materials</v>
      </c>
      <c r="E11" s="3" t="s">
        <v>21</v>
      </c>
      <c r="F11" s="3">
        <v>8</v>
      </c>
      <c r="G11" s="6">
        <f>IFERROR(INDEX('Inventory-Master'!$G$3:$G$32,MATCH(C11,'Inventory-Master'!$B$3:$B$32,0)),0)</f>
        <v>40</v>
      </c>
      <c r="H11" s="6">
        <f t="shared" si="0"/>
        <v>320</v>
      </c>
      <c r="I11" s="5" t="s">
        <v>130</v>
      </c>
      <c r="J11" s="5" t="s">
        <v>142</v>
      </c>
    </row>
    <row r="12" ht="15" customHeight="1" spans="1:10">
      <c r="A12" s="3" t="s">
        <v>143</v>
      </c>
      <c r="B12" s="4">
        <v>46123</v>
      </c>
      <c r="C12" s="5" t="s">
        <v>77</v>
      </c>
      <c r="D12" s="3" t="str">
        <f>IFERROR(INDEX('Inventory-Master'!$C$3:$C$32,MATCH(C12,'Inventory-Master'!$B$3:$B$32,0)),"")</f>
        <v>Office Equipment</v>
      </c>
      <c r="E12" s="3" t="s">
        <v>21</v>
      </c>
      <c r="F12" s="3">
        <v>3</v>
      </c>
      <c r="G12" s="6">
        <f>IFERROR(INDEX('Inventory-Master'!$G$3:$G$32,MATCH(C12,'Inventory-Master'!$B$3:$B$32,0)),0)</f>
        <v>35</v>
      </c>
      <c r="H12" s="6">
        <f t="shared" si="0"/>
        <v>105</v>
      </c>
      <c r="I12" s="5" t="s">
        <v>133</v>
      </c>
      <c r="J12" s="5" t="s">
        <v>142</v>
      </c>
    </row>
    <row r="13" ht="15" customHeight="1" spans="1:10">
      <c r="A13" s="3" t="s">
        <v>144</v>
      </c>
      <c r="B13" s="4">
        <v>46164</v>
      </c>
      <c r="C13" s="5" t="s">
        <v>77</v>
      </c>
      <c r="D13" s="3" t="str">
        <f>IFERROR(INDEX('Inventory-Master'!$C$3:$C$32,MATCH(C13,'Inventory-Master'!$B$3:$B$32,0)),"")</f>
        <v>Office Equipment</v>
      </c>
      <c r="E13" s="3" t="s">
        <v>19</v>
      </c>
      <c r="F13" s="3">
        <v>8</v>
      </c>
      <c r="G13" s="6">
        <f>IFERROR(INDEX('Inventory-Master'!$G$3:$G$32,MATCH(C13,'Inventory-Master'!$B$3:$B$32,0)),0)</f>
        <v>35</v>
      </c>
      <c r="H13" s="6">
        <f t="shared" si="0"/>
        <v>280</v>
      </c>
      <c r="I13" s="5" t="s">
        <v>127</v>
      </c>
      <c r="J13" s="5" t="s">
        <v>131</v>
      </c>
    </row>
    <row r="14" ht="15" customHeight="1" spans="1:10">
      <c r="A14" s="3" t="s">
        <v>145</v>
      </c>
      <c r="B14" s="4">
        <v>46200</v>
      </c>
      <c r="C14" s="5" t="s">
        <v>47</v>
      </c>
      <c r="D14" s="3" t="str">
        <f>IFERROR(INDEX('Inventory-Master'!$C$3:$C$32,MATCH(C14,'Inventory-Master'!$B$3:$B$32,0)),"")</f>
        <v>Paper Products</v>
      </c>
      <c r="E14" s="3" t="s">
        <v>21</v>
      </c>
      <c r="F14" s="3">
        <v>8</v>
      </c>
      <c r="G14" s="6">
        <f>IFERROR(INDEX('Inventory-Master'!$G$3:$G$32,MATCH(C14,'Inventory-Master'!$B$3:$B$32,0)),0)</f>
        <v>130</v>
      </c>
      <c r="H14" s="6">
        <f t="shared" si="0"/>
        <v>1040</v>
      </c>
      <c r="I14" s="5" t="s">
        <v>133</v>
      </c>
      <c r="J14" s="5" t="s">
        <v>142</v>
      </c>
    </row>
    <row r="15" ht="15" customHeight="1" spans="1:10">
      <c r="A15" s="3" t="s">
        <v>146</v>
      </c>
      <c r="B15" s="4">
        <v>46048</v>
      </c>
      <c r="C15" s="5" t="s">
        <v>90</v>
      </c>
      <c r="D15" s="3" t="str">
        <f>IFERROR(INDEX('Inventory-Master'!$C$3:$C$32,MATCH(C15,'Inventory-Master'!$B$3:$B$32,0)),"")</f>
        <v>Paper Products</v>
      </c>
      <c r="E15" s="3" t="s">
        <v>22</v>
      </c>
      <c r="F15" s="3">
        <v>20</v>
      </c>
      <c r="G15" s="6">
        <f>IFERROR(INDEX('Inventory-Master'!$G$3:$G$32,MATCH(C15,'Inventory-Master'!$B$3:$B$32,0)),0)</f>
        <v>150</v>
      </c>
      <c r="H15" s="6">
        <f t="shared" si="0"/>
        <v>3000</v>
      </c>
      <c r="I15" s="5" t="s">
        <v>127</v>
      </c>
      <c r="J15" s="5" t="s">
        <v>142</v>
      </c>
    </row>
    <row r="16" ht="15" customHeight="1" spans="1:10">
      <c r="A16" s="3" t="s">
        <v>147</v>
      </c>
      <c r="B16" s="4">
        <v>46075</v>
      </c>
      <c r="C16" s="5" t="s">
        <v>64</v>
      </c>
      <c r="D16" s="3" t="str">
        <f>IFERROR(INDEX('Inventory-Master'!$C$3:$C$32,MATCH(C16,'Inventory-Master'!$B$3:$B$32,0)),"")</f>
        <v>Writing Instruments</v>
      </c>
      <c r="E16" s="3" t="s">
        <v>26</v>
      </c>
      <c r="F16" s="3">
        <v>3</v>
      </c>
      <c r="G16" s="6">
        <f>IFERROR(INDEX('Inventory-Master'!$G$3:$G$32,MATCH(C16,'Inventory-Master'!$B$3:$B$32,0)),0)</f>
        <v>48</v>
      </c>
      <c r="H16" s="6">
        <f t="shared" si="0"/>
        <v>144</v>
      </c>
      <c r="I16" s="5" t="s">
        <v>130</v>
      </c>
      <c r="J16" s="5" t="s">
        <v>139</v>
      </c>
    </row>
    <row r="17" ht="15" customHeight="1" spans="1:10">
      <c r="A17" s="3" t="s">
        <v>148</v>
      </c>
      <c r="B17" s="4">
        <v>46091</v>
      </c>
      <c r="C17" s="5" t="s">
        <v>86</v>
      </c>
      <c r="D17" s="3" t="str">
        <f>IFERROR(INDEX('Inventory-Master'!$C$3:$C$32,MATCH(C17,'Inventory-Master'!$B$3:$B$32,0)),"")</f>
        <v>Filing &amp; Storage</v>
      </c>
      <c r="E17" s="3" t="s">
        <v>22</v>
      </c>
      <c r="F17" s="3">
        <v>2</v>
      </c>
      <c r="G17" s="6">
        <f>IFERROR(INDEX('Inventory-Master'!$G$3:$G$32,MATCH(C17,'Inventory-Master'!$B$3:$B$32,0)),0)</f>
        <v>150</v>
      </c>
      <c r="H17" s="6">
        <f t="shared" si="0"/>
        <v>300</v>
      </c>
      <c r="I17" s="5" t="s">
        <v>133</v>
      </c>
      <c r="J17" s="5" t="s">
        <v>137</v>
      </c>
    </row>
    <row r="18" ht="15" customHeight="1" spans="1:10">
      <c r="A18" s="3" t="s">
        <v>149</v>
      </c>
      <c r="B18" s="4">
        <v>46122</v>
      </c>
      <c r="C18" s="5" t="s">
        <v>66</v>
      </c>
      <c r="D18" s="3" t="str">
        <f>IFERROR(INDEX('Inventory-Master'!$C$3:$C$32,MATCH(C18,'Inventory-Master'!$B$3:$B$32,0)),"")</f>
        <v>Writing Instruments</v>
      </c>
      <c r="E18" s="3" t="s">
        <v>20</v>
      </c>
      <c r="F18" s="3">
        <v>3</v>
      </c>
      <c r="G18" s="6">
        <f>IFERROR(INDEX('Inventory-Master'!$G$3:$G$32,MATCH(C18,'Inventory-Master'!$B$3:$B$32,0)),0)</f>
        <v>15</v>
      </c>
      <c r="H18" s="6">
        <f t="shared" si="0"/>
        <v>45</v>
      </c>
      <c r="I18" s="5" t="s">
        <v>133</v>
      </c>
      <c r="J18" s="5" t="s">
        <v>139</v>
      </c>
    </row>
    <row r="19" ht="15" customHeight="1" spans="1:10">
      <c r="A19" s="3" t="s">
        <v>150</v>
      </c>
      <c r="B19" s="4">
        <v>46150</v>
      </c>
      <c r="C19" s="5" t="s">
        <v>83</v>
      </c>
      <c r="D19" s="3" t="str">
        <f>IFERROR(INDEX('Inventory-Master'!$C$3:$C$32,MATCH(C19,'Inventory-Master'!$B$3:$B$32,0)),"")</f>
        <v>Filing &amp; Storage</v>
      </c>
      <c r="E19" s="3" t="s">
        <v>18</v>
      </c>
      <c r="F19" s="3">
        <v>20</v>
      </c>
      <c r="G19" s="6">
        <f>IFERROR(INDEX('Inventory-Master'!$G$3:$G$32,MATCH(C19,'Inventory-Master'!$B$3:$B$32,0)),0)</f>
        <v>380</v>
      </c>
      <c r="H19" s="6">
        <f t="shared" si="0"/>
        <v>7600</v>
      </c>
      <c r="I19" s="5" t="s">
        <v>127</v>
      </c>
      <c r="J19" s="5" t="s">
        <v>137</v>
      </c>
    </row>
    <row r="20" ht="15" customHeight="1" spans="1:10">
      <c r="A20" s="3" t="s">
        <v>151</v>
      </c>
      <c r="B20" s="4">
        <v>46192</v>
      </c>
      <c r="C20" s="5" t="s">
        <v>64</v>
      </c>
      <c r="D20" s="3" t="str">
        <f>IFERROR(INDEX('Inventory-Master'!$C$3:$C$32,MATCH(C20,'Inventory-Master'!$B$3:$B$32,0)),"")</f>
        <v>Writing Instruments</v>
      </c>
      <c r="E20" s="3" t="s">
        <v>24</v>
      </c>
      <c r="F20" s="3">
        <v>20</v>
      </c>
      <c r="G20" s="6">
        <f>IFERROR(INDEX('Inventory-Master'!$G$3:$G$32,MATCH(C20,'Inventory-Master'!$B$3:$B$32,0)),0)</f>
        <v>48</v>
      </c>
      <c r="H20" s="6">
        <f t="shared" si="0"/>
        <v>960</v>
      </c>
      <c r="I20" s="5" t="s">
        <v>127</v>
      </c>
      <c r="J20" s="5" t="s">
        <v>152</v>
      </c>
    </row>
    <row r="21" ht="15" customHeight="1" spans="1:10">
      <c r="A21" s="3" t="s">
        <v>153</v>
      </c>
      <c r="B21" s="4">
        <v>46027</v>
      </c>
      <c r="C21" s="5" t="s">
        <v>95</v>
      </c>
      <c r="D21" s="3" t="str">
        <f>IFERROR(INDEX('Inventory-Master'!$C$3:$C$32,MATCH(C21,'Inventory-Master'!$B$3:$B$32,0)),"")</f>
        <v>Stationery</v>
      </c>
      <c r="E21" s="3" t="s">
        <v>17</v>
      </c>
      <c r="F21" s="3">
        <v>2</v>
      </c>
      <c r="G21" s="6">
        <f>IFERROR(INDEX('Inventory-Master'!$G$3:$G$32,MATCH(C21,'Inventory-Master'!$B$3:$B$32,0)),0)</f>
        <v>25</v>
      </c>
      <c r="H21" s="6">
        <f t="shared" si="0"/>
        <v>50</v>
      </c>
      <c r="I21" s="5" t="s">
        <v>127</v>
      </c>
      <c r="J21" s="5" t="s">
        <v>152</v>
      </c>
    </row>
    <row r="22" ht="15" customHeight="1" spans="1:10">
      <c r="A22" s="3" t="s">
        <v>154</v>
      </c>
      <c r="B22" s="4">
        <v>46059</v>
      </c>
      <c r="C22" s="5" t="s">
        <v>106</v>
      </c>
      <c r="D22" s="3" t="str">
        <f>IFERROR(INDEX('Inventory-Master'!$C$3:$C$32,MATCH(C22,'Inventory-Master'!$B$3:$B$32,0)),"")</f>
        <v>Printing Supplies</v>
      </c>
      <c r="E22" s="3" t="s">
        <v>26</v>
      </c>
      <c r="F22" s="3">
        <v>1</v>
      </c>
      <c r="G22" s="6">
        <f>IFERROR(INDEX('Inventory-Master'!$G$3:$G$32,MATCH(C22,'Inventory-Master'!$B$3:$B$32,0)),0)</f>
        <v>3000</v>
      </c>
      <c r="H22" s="6">
        <f t="shared" si="0"/>
        <v>3000</v>
      </c>
      <c r="I22" s="5" t="s">
        <v>130</v>
      </c>
      <c r="J22" s="5" t="s">
        <v>152</v>
      </c>
    </row>
    <row r="23" ht="15" customHeight="1" spans="1:10">
      <c r="A23" s="3" t="s">
        <v>155</v>
      </c>
      <c r="B23" s="4">
        <v>46111</v>
      </c>
      <c r="C23" s="5" t="s">
        <v>111</v>
      </c>
      <c r="D23" s="3" t="str">
        <f>IFERROR(INDEX('Inventory-Master'!$C$3:$C$32,MATCH(C23,'Inventory-Master'!$B$3:$B$32,0)),"")</f>
        <v>Packaging Materials</v>
      </c>
      <c r="E23" s="3" t="s">
        <v>18</v>
      </c>
      <c r="F23" s="3">
        <v>20</v>
      </c>
      <c r="G23" s="6">
        <f>IFERROR(INDEX('Inventory-Master'!$G$3:$G$32,MATCH(C23,'Inventory-Master'!$B$3:$B$32,0)),0)</f>
        <v>200</v>
      </c>
      <c r="H23" s="6">
        <f t="shared" si="0"/>
        <v>4000</v>
      </c>
      <c r="I23" s="5" t="s">
        <v>133</v>
      </c>
      <c r="J23" s="5" t="s">
        <v>142</v>
      </c>
    </row>
    <row r="24" ht="15" customHeight="1" spans="1:10">
      <c r="A24" s="3" t="s">
        <v>156</v>
      </c>
      <c r="B24" s="4">
        <v>46134</v>
      </c>
      <c r="C24" s="5" t="s">
        <v>86</v>
      </c>
      <c r="D24" s="3" t="str">
        <f>IFERROR(INDEX('Inventory-Master'!$C$3:$C$32,MATCH(C24,'Inventory-Master'!$B$3:$B$32,0)),"")</f>
        <v>Filing &amp; Storage</v>
      </c>
      <c r="E24" s="3" t="s">
        <v>22</v>
      </c>
      <c r="F24" s="3">
        <v>20</v>
      </c>
      <c r="G24" s="6">
        <f>IFERROR(INDEX('Inventory-Master'!$G$3:$G$32,MATCH(C24,'Inventory-Master'!$B$3:$B$32,0)),0)</f>
        <v>150</v>
      </c>
      <c r="H24" s="6">
        <f t="shared" si="0"/>
        <v>3000</v>
      </c>
      <c r="I24" s="5" t="s">
        <v>130</v>
      </c>
      <c r="J24" s="5" t="s">
        <v>137</v>
      </c>
    </row>
    <row r="25" ht="15" customHeight="1" spans="1:10">
      <c r="A25" s="3" t="s">
        <v>157</v>
      </c>
      <c r="B25" s="4">
        <v>46171</v>
      </c>
      <c r="C25" s="5" t="s">
        <v>86</v>
      </c>
      <c r="D25" s="3" t="str">
        <f>IFERROR(INDEX('Inventory-Master'!$C$3:$C$32,MATCH(C25,'Inventory-Master'!$B$3:$B$32,0)),"")</f>
        <v>Filing &amp; Storage</v>
      </c>
      <c r="E25" s="3" t="s">
        <v>24</v>
      </c>
      <c r="F25" s="3">
        <v>20</v>
      </c>
      <c r="G25" s="6">
        <f>IFERROR(INDEX('Inventory-Master'!$G$3:$G$32,MATCH(C25,'Inventory-Master'!$B$3:$B$32,0)),0)</f>
        <v>150</v>
      </c>
      <c r="H25" s="6">
        <f t="shared" si="0"/>
        <v>3000</v>
      </c>
      <c r="I25" s="5" t="s">
        <v>133</v>
      </c>
      <c r="J25" s="5" t="s">
        <v>137</v>
      </c>
    </row>
    <row r="26" ht="15" customHeight="1" spans="1:10">
      <c r="A26" s="3" t="s">
        <v>158</v>
      </c>
      <c r="B26" s="4">
        <v>46201</v>
      </c>
      <c r="C26" s="5" t="s">
        <v>83</v>
      </c>
      <c r="D26" s="3" t="str">
        <f>IFERROR(INDEX('Inventory-Master'!$C$3:$C$32,MATCH(C26,'Inventory-Master'!$B$3:$B$32,0)),"")</f>
        <v>Filing &amp; Storage</v>
      </c>
      <c r="E26" s="3" t="s">
        <v>26</v>
      </c>
      <c r="F26" s="3">
        <v>8</v>
      </c>
      <c r="G26" s="6">
        <f>IFERROR(INDEX('Inventory-Master'!$G$3:$G$32,MATCH(C26,'Inventory-Master'!$B$3:$B$32,0)),0)</f>
        <v>380</v>
      </c>
      <c r="H26" s="6">
        <f t="shared" si="0"/>
        <v>3040</v>
      </c>
      <c r="I26" s="5" t="s">
        <v>133</v>
      </c>
      <c r="J26" s="5" t="s">
        <v>137</v>
      </c>
    </row>
    <row r="27" ht="15" customHeight="1" spans="1:10">
      <c r="A27" s="3" t="s">
        <v>159</v>
      </c>
      <c r="B27" s="4">
        <v>46031</v>
      </c>
      <c r="C27" s="5" t="s">
        <v>104</v>
      </c>
      <c r="D27" s="3" t="str">
        <f>IFERROR(INDEX('Inventory-Master'!$C$3:$C$32,MATCH(C27,'Inventory-Master'!$B$3:$B$32,0)),"")</f>
        <v>Printing Supplies</v>
      </c>
      <c r="E27" s="3" t="s">
        <v>26</v>
      </c>
      <c r="F27" s="3">
        <v>5</v>
      </c>
      <c r="G27" s="6">
        <f>IFERROR(INDEX('Inventory-Master'!$G$3:$G$32,MATCH(C27,'Inventory-Master'!$B$3:$B$32,0)),0)</f>
        <v>100</v>
      </c>
      <c r="H27" s="6">
        <f t="shared" si="0"/>
        <v>500</v>
      </c>
      <c r="I27" s="5" t="s">
        <v>127</v>
      </c>
      <c r="J27" s="5" t="s">
        <v>142</v>
      </c>
    </row>
    <row r="28" ht="15" customHeight="1" spans="1:10">
      <c r="A28" s="3" t="s">
        <v>160</v>
      </c>
      <c r="B28" s="4">
        <v>46056</v>
      </c>
      <c r="C28" s="5" t="s">
        <v>100</v>
      </c>
      <c r="D28" s="3" t="str">
        <f>IFERROR(INDEX('Inventory-Master'!$C$3:$C$32,MATCH(C28,'Inventory-Master'!$B$3:$B$32,0)),"")</f>
        <v>Printing Supplies</v>
      </c>
      <c r="E28" s="3" t="s">
        <v>21</v>
      </c>
      <c r="F28" s="3">
        <v>5</v>
      </c>
      <c r="G28" s="6">
        <f>IFERROR(INDEX('Inventory-Master'!$G$3:$G$32,MATCH(C28,'Inventory-Master'!$B$3:$B$32,0)),0)</f>
        <v>100</v>
      </c>
      <c r="H28" s="6">
        <f t="shared" si="0"/>
        <v>500</v>
      </c>
      <c r="I28" s="5" t="s">
        <v>127</v>
      </c>
      <c r="J28" s="5" t="s">
        <v>128</v>
      </c>
    </row>
    <row r="29" ht="15" customHeight="1" spans="1:10">
      <c r="A29" s="3" t="s">
        <v>161</v>
      </c>
      <c r="B29" s="4">
        <v>46092</v>
      </c>
      <c r="C29" s="5" t="s">
        <v>114</v>
      </c>
      <c r="D29" s="3" t="str">
        <f>IFERROR(INDEX('Inventory-Master'!$C$3:$C$32,MATCH(C29,'Inventory-Master'!$B$3:$B$32,0)),"")</f>
        <v>Packaging Materials</v>
      </c>
      <c r="E29" s="3" t="s">
        <v>18</v>
      </c>
      <c r="F29" s="3">
        <v>3</v>
      </c>
      <c r="G29" s="6">
        <f>IFERROR(INDEX('Inventory-Master'!$G$3:$G$32,MATCH(C29,'Inventory-Master'!$B$3:$B$32,0)),0)</f>
        <v>40</v>
      </c>
      <c r="H29" s="6">
        <f t="shared" si="0"/>
        <v>120</v>
      </c>
      <c r="I29" s="5" t="s">
        <v>133</v>
      </c>
      <c r="J29" s="5" t="s">
        <v>152</v>
      </c>
    </row>
    <row r="30" ht="15" customHeight="1" spans="1:10">
      <c r="A30" s="3" t="s">
        <v>162</v>
      </c>
      <c r="B30" s="4">
        <v>46125</v>
      </c>
      <c r="C30" s="5" t="s">
        <v>100</v>
      </c>
      <c r="D30" s="3" t="str">
        <f>IFERROR(INDEX('Inventory-Master'!$C$3:$C$32,MATCH(C30,'Inventory-Master'!$B$3:$B$32,0)),"")</f>
        <v>Printing Supplies</v>
      </c>
      <c r="E30" s="3" t="s">
        <v>19</v>
      </c>
      <c r="F30" s="3">
        <v>5</v>
      </c>
      <c r="G30" s="6">
        <f>IFERROR(INDEX('Inventory-Master'!$G$3:$G$32,MATCH(C30,'Inventory-Master'!$B$3:$B$32,0)),0)</f>
        <v>100</v>
      </c>
      <c r="H30" s="6">
        <f t="shared" si="0"/>
        <v>500</v>
      </c>
      <c r="I30" s="5" t="s">
        <v>133</v>
      </c>
      <c r="J30" s="5" t="s">
        <v>142</v>
      </c>
    </row>
    <row r="31" ht="15" customHeight="1" spans="1:10">
      <c r="A31" s="3" t="s">
        <v>163</v>
      </c>
      <c r="B31" s="4">
        <v>46156</v>
      </c>
      <c r="C31" s="5" t="s">
        <v>72</v>
      </c>
      <c r="D31" s="3" t="str">
        <f>IFERROR(INDEX('Inventory-Master'!$C$3:$C$32,MATCH(C31,'Inventory-Master'!$B$3:$B$32,0)),"")</f>
        <v>Office Equipment</v>
      </c>
      <c r="E31" s="3" t="s">
        <v>26</v>
      </c>
      <c r="F31" s="3">
        <v>15</v>
      </c>
      <c r="G31" s="6">
        <f>IFERROR(INDEX('Inventory-Master'!$G$3:$G$32,MATCH(C31,'Inventory-Master'!$B$3:$B$32,0)),0)</f>
        <v>45</v>
      </c>
      <c r="H31" s="6">
        <f t="shared" si="0"/>
        <v>675</v>
      </c>
      <c r="I31" s="5" t="s">
        <v>133</v>
      </c>
      <c r="J31" s="5" t="s">
        <v>152</v>
      </c>
    </row>
    <row r="32" ht="15" customHeight="1" spans="1:10">
      <c r="A32" s="3" t="s">
        <v>164</v>
      </c>
      <c r="B32" s="4">
        <v>46200</v>
      </c>
      <c r="C32" s="5" t="s">
        <v>79</v>
      </c>
      <c r="D32" s="3" t="str">
        <f>IFERROR(INDEX('Inventory-Master'!$C$3:$C$32,MATCH(C32,'Inventory-Master'!$B$3:$B$32,0)),"")</f>
        <v>Office Equipment</v>
      </c>
      <c r="E32" s="3" t="s">
        <v>24</v>
      </c>
      <c r="F32" s="3">
        <v>1</v>
      </c>
      <c r="G32" s="6">
        <f>IFERROR(INDEX('Inventory-Master'!$G$3:$G$32,MATCH(C32,'Inventory-Master'!$B$3:$B$32,0)),0)</f>
        <v>45</v>
      </c>
      <c r="H32" s="6">
        <f t="shared" si="0"/>
        <v>45</v>
      </c>
      <c r="I32" s="5" t="s">
        <v>130</v>
      </c>
      <c r="J32" s="5" t="s">
        <v>142</v>
      </c>
    </row>
    <row r="33" ht="15" customHeight="1" spans="1:10">
      <c r="A33" s="3" t="s">
        <v>165</v>
      </c>
      <c r="B33" s="4">
        <v>46038</v>
      </c>
      <c r="C33" s="5" t="s">
        <v>47</v>
      </c>
      <c r="D33" s="3" t="str">
        <f>IFERROR(INDEX('Inventory-Master'!$C$3:$C$32,MATCH(C33,'Inventory-Master'!$B$3:$B$32,0)),"")</f>
        <v>Paper Products</v>
      </c>
      <c r="E33" s="3" t="s">
        <v>22</v>
      </c>
      <c r="F33" s="3">
        <v>8</v>
      </c>
      <c r="G33" s="6">
        <f>IFERROR(INDEX('Inventory-Master'!$G$3:$G$32,MATCH(C33,'Inventory-Master'!$B$3:$B$32,0)),0)</f>
        <v>130</v>
      </c>
      <c r="H33" s="6">
        <f t="shared" si="0"/>
        <v>1040</v>
      </c>
      <c r="I33" s="5" t="s">
        <v>127</v>
      </c>
      <c r="J33" s="5" t="s">
        <v>142</v>
      </c>
    </row>
    <row r="34" ht="15" customHeight="1" spans="1:10">
      <c r="A34" s="3" t="s">
        <v>166</v>
      </c>
      <c r="B34" s="4">
        <v>46071</v>
      </c>
      <c r="C34" s="5" t="s">
        <v>102</v>
      </c>
      <c r="D34" s="3" t="str">
        <f>IFERROR(INDEX('Inventory-Master'!$C$3:$C$32,MATCH(C34,'Inventory-Master'!$B$3:$B$32,0)),"")</f>
        <v>Printing Supplies</v>
      </c>
      <c r="E34" s="3" t="s">
        <v>20</v>
      </c>
      <c r="F34" s="3">
        <v>20</v>
      </c>
      <c r="G34" s="6">
        <f>IFERROR(INDEX('Inventory-Master'!$G$3:$G$32,MATCH(C34,'Inventory-Master'!$B$3:$B$32,0)),0)</f>
        <v>100</v>
      </c>
      <c r="H34" s="6">
        <f t="shared" si="0"/>
        <v>2000</v>
      </c>
      <c r="I34" s="5" t="s">
        <v>133</v>
      </c>
      <c r="J34" s="5" t="s">
        <v>128</v>
      </c>
    </row>
    <row r="35" ht="15" customHeight="1" spans="1:10">
      <c r="A35" s="3" t="s">
        <v>167</v>
      </c>
      <c r="B35" s="4">
        <v>46095</v>
      </c>
      <c r="C35" s="5" t="s">
        <v>83</v>
      </c>
      <c r="D35" s="3" t="str">
        <f>IFERROR(INDEX('Inventory-Master'!$C$3:$C$32,MATCH(C35,'Inventory-Master'!$B$3:$B$32,0)),"")</f>
        <v>Filing &amp; Storage</v>
      </c>
      <c r="E35" s="3" t="s">
        <v>17</v>
      </c>
      <c r="F35" s="3">
        <v>15</v>
      </c>
      <c r="G35" s="6">
        <f>IFERROR(INDEX('Inventory-Master'!$G$3:$G$32,MATCH(C35,'Inventory-Master'!$B$3:$B$32,0)),0)</f>
        <v>380</v>
      </c>
      <c r="H35" s="6">
        <f t="shared" si="0"/>
        <v>5700</v>
      </c>
      <c r="I35" s="5" t="s">
        <v>127</v>
      </c>
      <c r="J35" s="5" t="s">
        <v>137</v>
      </c>
    </row>
    <row r="36" ht="15" customHeight="1" spans="1:10">
      <c r="A36" s="3" t="s">
        <v>168</v>
      </c>
      <c r="B36" s="4">
        <v>46134</v>
      </c>
      <c r="C36" s="5" t="s">
        <v>106</v>
      </c>
      <c r="D36" s="3" t="str">
        <f>IFERROR(INDEX('Inventory-Master'!$C$3:$C$32,MATCH(C36,'Inventory-Master'!$B$3:$B$32,0)),"")</f>
        <v>Printing Supplies</v>
      </c>
      <c r="E36" s="3" t="s">
        <v>24</v>
      </c>
      <c r="F36" s="3">
        <v>3</v>
      </c>
      <c r="G36" s="6">
        <f>IFERROR(INDEX('Inventory-Master'!$G$3:$G$32,MATCH(C36,'Inventory-Master'!$B$3:$B$32,0)),0)</f>
        <v>3000</v>
      </c>
      <c r="H36" s="6">
        <f t="shared" si="0"/>
        <v>9000</v>
      </c>
      <c r="I36" s="5" t="s">
        <v>127</v>
      </c>
      <c r="J36" s="5" t="s">
        <v>152</v>
      </c>
    </row>
    <row r="37" ht="15" customHeight="1" spans="1:10">
      <c r="A37" s="3" t="s">
        <v>169</v>
      </c>
      <c r="B37" s="4">
        <v>46162</v>
      </c>
      <c r="C37" s="5" t="s">
        <v>88</v>
      </c>
      <c r="D37" s="3" t="str">
        <f>IFERROR(INDEX('Inventory-Master'!$C$3:$C$32,MATCH(C37,'Inventory-Master'!$B$3:$B$32,0)),"")</f>
        <v>Filing &amp; Storage</v>
      </c>
      <c r="E37" s="3" t="s">
        <v>17</v>
      </c>
      <c r="F37" s="3">
        <v>15</v>
      </c>
      <c r="G37" s="6">
        <f>IFERROR(INDEX('Inventory-Master'!$G$3:$G$32,MATCH(C37,'Inventory-Master'!$B$3:$B$32,0)),0)</f>
        <v>750</v>
      </c>
      <c r="H37" s="6">
        <f t="shared" si="0"/>
        <v>11250</v>
      </c>
      <c r="I37" s="5" t="s">
        <v>130</v>
      </c>
      <c r="J37" s="5" t="s">
        <v>131</v>
      </c>
    </row>
    <row r="38" ht="15" customHeight="1" spans="1:10">
      <c r="A38" s="3" t="s">
        <v>170</v>
      </c>
      <c r="B38" s="4">
        <v>46195</v>
      </c>
      <c r="C38" s="5" t="s">
        <v>47</v>
      </c>
      <c r="D38" s="3" t="str">
        <f>IFERROR(INDEX('Inventory-Master'!$C$3:$C$32,MATCH(C38,'Inventory-Master'!$B$3:$B$32,0)),"")</f>
        <v>Paper Products</v>
      </c>
      <c r="E38" s="3" t="s">
        <v>18</v>
      </c>
      <c r="F38" s="3">
        <v>15</v>
      </c>
      <c r="G38" s="6">
        <f>IFERROR(INDEX('Inventory-Master'!$G$3:$G$32,MATCH(C38,'Inventory-Master'!$B$3:$B$32,0)),0)</f>
        <v>130</v>
      </c>
      <c r="H38" s="6">
        <f t="shared" si="0"/>
        <v>1950</v>
      </c>
      <c r="I38" s="5" t="s">
        <v>133</v>
      </c>
      <c r="J38" s="5" t="s">
        <v>142</v>
      </c>
    </row>
    <row r="39" ht="15" customHeight="1" spans="1:10">
      <c r="A39" s="3" t="s">
        <v>171</v>
      </c>
      <c r="B39" s="4">
        <v>46028</v>
      </c>
      <c r="C39" s="5" t="s">
        <v>51</v>
      </c>
      <c r="D39" s="3" t="str">
        <f>IFERROR(INDEX('Inventory-Master'!$C$3:$C$32,MATCH(C39,'Inventory-Master'!$B$3:$B$32,0)),"")</f>
        <v>Writing Instruments</v>
      </c>
      <c r="E39" s="3" t="s">
        <v>21</v>
      </c>
      <c r="F39" s="3">
        <v>15</v>
      </c>
      <c r="G39" s="6">
        <f>IFERROR(INDEX('Inventory-Master'!$G$3:$G$32,MATCH(C39,'Inventory-Master'!$B$3:$B$32,0)),0)</f>
        <v>70</v>
      </c>
      <c r="H39" s="6">
        <f t="shared" si="0"/>
        <v>1050</v>
      </c>
      <c r="I39" s="5" t="s">
        <v>127</v>
      </c>
      <c r="J39" s="5" t="s">
        <v>152</v>
      </c>
    </row>
    <row r="40" ht="15" customHeight="1" spans="1:10">
      <c r="A40" s="3" t="s">
        <v>172</v>
      </c>
      <c r="B40" s="4">
        <v>46068</v>
      </c>
      <c r="C40" s="5" t="s">
        <v>72</v>
      </c>
      <c r="D40" s="3" t="str">
        <f>IFERROR(INDEX('Inventory-Master'!$C$3:$C$32,MATCH(C40,'Inventory-Master'!$B$3:$B$32,0)),"")</f>
        <v>Office Equipment</v>
      </c>
      <c r="E40" s="3" t="s">
        <v>22</v>
      </c>
      <c r="F40" s="3">
        <v>15</v>
      </c>
      <c r="G40" s="6">
        <f>IFERROR(INDEX('Inventory-Master'!$G$3:$G$32,MATCH(C40,'Inventory-Master'!$B$3:$B$32,0)),0)</f>
        <v>45</v>
      </c>
      <c r="H40" s="6">
        <f t="shared" si="0"/>
        <v>675</v>
      </c>
      <c r="I40" s="5" t="s">
        <v>127</v>
      </c>
      <c r="J40" s="5" t="s">
        <v>142</v>
      </c>
    </row>
    <row r="41" ht="15" customHeight="1" spans="1:10">
      <c r="A41" s="3" t="s">
        <v>173</v>
      </c>
      <c r="B41" s="4">
        <v>46090</v>
      </c>
      <c r="C41" s="5" t="s">
        <v>108</v>
      </c>
      <c r="D41" s="3" t="str">
        <f>IFERROR(INDEX('Inventory-Master'!$C$3:$C$32,MATCH(C41,'Inventory-Master'!$B$3:$B$32,0)),"")</f>
        <v>IT Accessories</v>
      </c>
      <c r="E41" s="3" t="s">
        <v>18</v>
      </c>
      <c r="F41" s="3">
        <v>20</v>
      </c>
      <c r="G41" s="6">
        <f>IFERROR(INDEX('Inventory-Master'!$G$3:$G$32,MATCH(C41,'Inventory-Master'!$B$3:$B$32,0)),0)</f>
        <v>600</v>
      </c>
      <c r="H41" s="6">
        <f t="shared" si="0"/>
        <v>12000</v>
      </c>
      <c r="I41" s="5" t="s">
        <v>133</v>
      </c>
      <c r="J41" s="5" t="s">
        <v>137</v>
      </c>
    </row>
    <row r="42" ht="15" customHeight="1" spans="1:10">
      <c r="A42" s="3" t="s">
        <v>174</v>
      </c>
      <c r="B42" s="4">
        <v>46130</v>
      </c>
      <c r="C42" s="5" t="s">
        <v>51</v>
      </c>
      <c r="D42" s="3" t="str">
        <f>IFERROR(INDEX('Inventory-Master'!$C$3:$C$32,MATCH(C42,'Inventory-Master'!$B$3:$B$32,0)),"")</f>
        <v>Writing Instruments</v>
      </c>
      <c r="E42" s="3" t="s">
        <v>22</v>
      </c>
      <c r="F42" s="3">
        <v>5</v>
      </c>
      <c r="G42" s="6">
        <f>IFERROR(INDEX('Inventory-Master'!$G$3:$G$32,MATCH(C42,'Inventory-Master'!$B$3:$B$32,0)),0)</f>
        <v>70</v>
      </c>
      <c r="H42" s="6">
        <f t="shared" si="0"/>
        <v>350</v>
      </c>
      <c r="I42" s="5" t="s">
        <v>130</v>
      </c>
      <c r="J42" s="5" t="s">
        <v>139</v>
      </c>
    </row>
    <row r="43" ht="15" customHeight="1" spans="1:10">
      <c r="A43" s="3" t="s">
        <v>175</v>
      </c>
      <c r="B43" s="4">
        <v>46167</v>
      </c>
      <c r="C43" s="5" t="s">
        <v>95</v>
      </c>
      <c r="D43" s="3" t="str">
        <f>IFERROR(INDEX('Inventory-Master'!$C$3:$C$32,MATCH(C43,'Inventory-Master'!$B$3:$B$32,0)),"")</f>
        <v>Stationery</v>
      </c>
      <c r="E43" s="3" t="s">
        <v>17</v>
      </c>
      <c r="F43" s="3">
        <v>1</v>
      </c>
      <c r="G43" s="6">
        <f>IFERROR(INDEX('Inventory-Master'!$G$3:$G$32,MATCH(C43,'Inventory-Master'!$B$3:$B$32,0)),0)</f>
        <v>25</v>
      </c>
      <c r="H43" s="6">
        <f t="shared" si="0"/>
        <v>25</v>
      </c>
      <c r="I43" s="5" t="s">
        <v>133</v>
      </c>
      <c r="J43" s="5" t="s">
        <v>152</v>
      </c>
    </row>
    <row r="44" ht="15" customHeight="1" spans="1:10">
      <c r="A44" s="3" t="s">
        <v>176</v>
      </c>
      <c r="B44" s="4">
        <v>46200</v>
      </c>
      <c r="C44" s="5" t="s">
        <v>47</v>
      </c>
      <c r="D44" s="3" t="str">
        <f>IFERROR(INDEX('Inventory-Master'!$C$3:$C$32,MATCH(C44,'Inventory-Master'!$B$3:$B$32,0)),"")</f>
        <v>Paper Products</v>
      </c>
      <c r="E44" s="3" t="s">
        <v>19</v>
      </c>
      <c r="F44" s="3">
        <v>5</v>
      </c>
      <c r="G44" s="6">
        <f>IFERROR(INDEX('Inventory-Master'!$G$3:$G$32,MATCH(C44,'Inventory-Master'!$B$3:$B$32,0)),0)</f>
        <v>130</v>
      </c>
      <c r="H44" s="6">
        <f t="shared" si="0"/>
        <v>650</v>
      </c>
      <c r="I44" s="5" t="s">
        <v>133</v>
      </c>
      <c r="J44" s="5" t="s">
        <v>142</v>
      </c>
    </row>
    <row r="45" ht="15" customHeight="1" spans="1:10">
      <c r="A45" s="3" t="s">
        <v>177</v>
      </c>
      <c r="B45" s="4">
        <v>46044</v>
      </c>
      <c r="C45" s="5" t="s">
        <v>58</v>
      </c>
      <c r="D45" s="3" t="str">
        <f>IFERROR(INDEX('Inventory-Master'!$C$3:$C$32,MATCH(C45,'Inventory-Master'!$B$3:$B$32,0)),"")</f>
        <v>Office Equipment</v>
      </c>
      <c r="E45" s="3" t="s">
        <v>20</v>
      </c>
      <c r="F45" s="3">
        <v>20</v>
      </c>
      <c r="G45" s="6">
        <f>IFERROR(INDEX('Inventory-Master'!$G$3:$G$32,MATCH(C45,'Inventory-Master'!$B$3:$B$32,0)),0)</f>
        <v>40</v>
      </c>
      <c r="H45" s="6">
        <f t="shared" si="0"/>
        <v>800</v>
      </c>
      <c r="I45" s="5" t="s">
        <v>130</v>
      </c>
      <c r="J45" s="5" t="s">
        <v>128</v>
      </c>
    </row>
    <row r="46" ht="15" customHeight="1" spans="1:10">
      <c r="A46" s="3" t="s">
        <v>178</v>
      </c>
      <c r="B46" s="4">
        <v>46078</v>
      </c>
      <c r="C46" s="5" t="s">
        <v>75</v>
      </c>
      <c r="D46" s="3" t="str">
        <f>IFERROR(INDEX('Inventory-Master'!$C$3:$C$32,MATCH(C46,'Inventory-Master'!$B$3:$B$32,0)),"")</f>
        <v>Office Equipment</v>
      </c>
      <c r="E46" s="3" t="s">
        <v>19</v>
      </c>
      <c r="F46" s="3">
        <v>2</v>
      </c>
      <c r="G46" s="6">
        <f>IFERROR(INDEX('Inventory-Master'!$G$3:$G$32,MATCH(C46,'Inventory-Master'!$B$3:$B$32,0)),0)</f>
        <v>10</v>
      </c>
      <c r="H46" s="6">
        <f t="shared" si="0"/>
        <v>20</v>
      </c>
      <c r="I46" s="5" t="s">
        <v>133</v>
      </c>
      <c r="J46" s="5" t="s">
        <v>128</v>
      </c>
    </row>
    <row r="47" ht="15" customHeight="1" spans="1:10">
      <c r="A47" s="3" t="s">
        <v>179</v>
      </c>
      <c r="B47" s="4">
        <v>46085</v>
      </c>
      <c r="C47" s="5" t="s">
        <v>90</v>
      </c>
      <c r="D47" s="3" t="str">
        <f>IFERROR(INDEX('Inventory-Master'!$C$3:$C$32,MATCH(C47,'Inventory-Master'!$B$3:$B$32,0)),"")</f>
        <v>Paper Products</v>
      </c>
      <c r="E47" s="3" t="s">
        <v>17</v>
      </c>
      <c r="F47" s="3">
        <v>8</v>
      </c>
      <c r="G47" s="6">
        <f>IFERROR(INDEX('Inventory-Master'!$G$3:$G$32,MATCH(C47,'Inventory-Master'!$B$3:$B$32,0)),0)</f>
        <v>150</v>
      </c>
      <c r="H47" s="6">
        <f t="shared" si="0"/>
        <v>1200</v>
      </c>
      <c r="I47" s="5" t="s">
        <v>130</v>
      </c>
      <c r="J47" s="5" t="s">
        <v>137</v>
      </c>
    </row>
  </sheetData>
  <mergeCells count="1">
    <mergeCell ref="A1:J1"/>
  </mergeCells>
  <dataValidations count="2">
    <dataValidation type="list" sqref="C3:C47">
      <formula1>ItemList</formula1>
    </dataValidation>
    <dataValidation type="list" sqref="E3:E47">
      <formula1>DepartmentList</formula1>
    </dataValidation>
  </dataValidations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Inventory-Master</vt:lpstr>
      <vt:lpstr>Stock-Issuance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Rester</cp:lastModifiedBy>
  <cp:revision>3</cp:revision>
  <dcterms:created xsi:type="dcterms:W3CDTF">2026-07-04T03:33:00Z</dcterms:created>
  <dcterms:modified xsi:type="dcterms:W3CDTF">2026-09-08T08:23:02Z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7D4E91CEE67A4F169ADFF81E46343E92_13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