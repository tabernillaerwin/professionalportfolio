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tabRatio="500" activeTab="1"/>
  </bookViews>
  <sheets>
    <sheet name="Week 1 Allowance" sheetId="2" r:id="rId1"/>
    <sheet name="Dashboard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<sst xmlns="http://schemas.openxmlformats.org/spreadsheetml/2006/main" count="101" uniqueCount="45">
  <si>
    <t>Sample Allowance Tracker</t>
  </si>
  <si>
    <t>Date</t>
  </si>
  <si>
    <t>Description</t>
  </si>
  <si>
    <t>Category</t>
  </si>
  <si>
    <t>Amount</t>
  </si>
  <si>
    <t>May 1</t>
  </si>
  <si>
    <t>Jeep Fare</t>
  </si>
  <si>
    <t>Transportation</t>
  </si>
  <si>
    <t>Lunch Meal</t>
  </si>
  <si>
    <t>Food</t>
  </si>
  <si>
    <t>Bottled Water</t>
  </si>
  <si>
    <t>May 2</t>
  </si>
  <si>
    <t>Tricycle Fare</t>
  </si>
  <si>
    <t>School Printing</t>
  </si>
  <si>
    <t>School</t>
  </si>
  <si>
    <t>Coffee</t>
  </si>
  <si>
    <t>May 3</t>
  </si>
  <si>
    <t>Mobile Load</t>
  </si>
  <si>
    <t>Utilities</t>
  </si>
  <si>
    <t>Notebook</t>
  </si>
  <si>
    <t>May 4</t>
  </si>
  <si>
    <t>Bus Fare</t>
  </si>
  <si>
    <t>Fast Food Dinner</t>
  </si>
  <si>
    <t>Pen and Paper</t>
  </si>
  <si>
    <t>May 5</t>
  </si>
  <si>
    <t>Internet Café</t>
  </si>
  <si>
    <t>Snacks</t>
  </si>
  <si>
    <t>May 6</t>
  </si>
  <si>
    <t>Bond Paper</t>
  </si>
  <si>
    <t>May 7</t>
  </si>
  <si>
    <t>Milk Tea</t>
  </si>
  <si>
    <t>Total Expenses</t>
  </si>
  <si>
    <t>Weekly Budget</t>
  </si>
  <si>
    <t>Remaining Budget</t>
  </si>
  <si>
    <t>Sample Weekly Allowance Tracker — Dashboard</t>
  </si>
  <si>
    <t>Spending analysis for May 1–7 · Auto-calculated from Week 1 Allowance sheet</t>
  </si>
  <si>
    <t>Spending by Category</t>
  </si>
  <si>
    <t>Amount (₱)</t>
  </si>
  <si>
    <t>% of Total</t>
  </si>
  <si>
    <t>Budget</t>
  </si>
  <si>
    <t>Total Spent</t>
  </si>
  <si>
    <t>% of Budget Used</t>
  </si>
  <si>
    <t>Daily Spending Trend</t>
  </si>
  <si>
    <t>Daily Average</t>
  </si>
  <si>
    <t>Key Insights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</si>
</sst>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&quot;₱&quot;#,##0"/>
    <numFmt numFmtId="177" formatCode="0.0%"/>
    <numFmt numFmtId="178" formatCode="&quot;₱&quot;#,##0.00"/>
  </numFmts>
  <fonts count="36">
    <font>
      <sz val="11"/>
      <color theme="1"/>
      <name val="Calibri"/>
      <charset val="134"/>
    </font>
    <font>
      <b/>
      <sz val="16"/>
      <color rgb="FF0E2A3D"/>
      <name val="Arial"/>
      <charset val="1"/>
    </font>
    <font>
      <i/>
      <sz val="10"/>
      <color theme="1"/>
      <name val="Arial"/>
      <charset val="1"/>
    </font>
    <font>
      <b/>
      <sz val="12"/>
      <color rgb="FF0E2A3D"/>
      <name val="Arial"/>
      <charset val="1"/>
    </font>
    <font>
      <b/>
      <sz val="11"/>
      <color rgb="FFFFFFFF"/>
      <name val="Arial"/>
      <charset val="1"/>
    </font>
    <font>
      <sz val="10"/>
      <color theme="1"/>
      <name val="Arial"/>
      <charset val="1"/>
    </font>
    <font>
      <b/>
      <sz val="10"/>
      <color rgb="FF16222B"/>
      <name val="Arial"/>
      <charset val="1"/>
    </font>
    <font>
      <sz val="10"/>
      <color rgb="FF16222B"/>
      <name val="Arial"/>
      <charset val="1"/>
    </font>
    <font>
      <b/>
      <sz val="16"/>
      <color theme="0"/>
      <name val="Arial"/>
      <charset val="134"/>
    </font>
    <font>
      <b/>
      <sz val="11"/>
      <color theme="0"/>
      <name val="Arial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sz val="11"/>
      <color theme="1"/>
      <name val="Arial"/>
      <charset val="134"/>
    </font>
    <font>
      <b/>
      <sz val="10"/>
      <color rgb="FF0E2A3D"/>
      <name val="Arial"/>
      <charset val="134"/>
    </font>
    <font>
      <sz val="10"/>
      <color rgb="FF0E2A3D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0E2A3D"/>
        <bgColor rgb="FF16222B"/>
      </patternFill>
    </fill>
    <fill>
      <patternFill patternType="solid">
        <fgColor rgb="FFF6F4E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3" tint="-0.25"/>
        <bgColor rgb="FF8B8B8B"/>
      </patternFill>
    </fill>
    <fill>
      <patternFill patternType="solid">
        <fgColor theme="0"/>
        <bgColor rgb="FFF6F4EE"/>
      </patternFill>
    </fill>
    <fill>
      <patternFill patternType="solid">
        <fgColor rgb="FFF6F4EE"/>
        <bgColor rgb="FFF6F4EE"/>
      </patternFill>
    </fill>
    <fill>
      <patternFill patternType="solid">
        <fgColor rgb="FFF6F4EE"/>
        <bgColor rgb="FFD9D9D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CD7C9"/>
      </left>
      <right style="thin">
        <color rgb="FFDCD7C9"/>
      </right>
      <top style="thin">
        <color rgb="FFDCD7C9"/>
      </top>
      <bottom style="thin">
        <color rgb="FFDCD7C9"/>
      </bottom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Border="0" applyAlignment="0" applyProtection="0"/>
    <xf numFmtId="44" fontId="10" fillId="0" borderId="0" applyBorder="0" applyAlignment="0" applyProtection="0"/>
    <xf numFmtId="9" fontId="10" fillId="0" borderId="0" applyBorder="0" applyAlignment="0" applyProtection="0"/>
    <xf numFmtId="41" fontId="10" fillId="0" borderId="0" applyBorder="0" applyAlignment="0" applyProtection="0"/>
    <xf numFmtId="42" fontId="10" fillId="0" borderId="0" applyBorder="0" applyAlignment="0" applyProtection="0"/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3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0" borderId="6" applyNumberFormat="0" applyAlignment="0" applyProtection="0">
      <alignment vertical="center"/>
    </xf>
    <xf numFmtId="0" fontId="26" fillId="11" borderId="7" applyNumberFormat="0" applyAlignment="0" applyProtection="0">
      <alignment vertical="center"/>
    </xf>
    <xf numFmtId="0" fontId="27" fillId="11" borderId="6" applyNumberFormat="0" applyAlignment="0" applyProtection="0">
      <alignment vertical="center"/>
    </xf>
    <xf numFmtId="0" fontId="28" fillId="12" borderId="8" applyNumberFormat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</cellStyleXfs>
  <cellXfs count="35">
    <xf numFmtId="0" fontId="0" fillId="0" borderId="0" xfId="0"/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176" fontId="6" fillId="0" borderId="1" xfId="0" applyNumberFormat="1" applyFont="1" applyBorder="1" applyAlignment="1">
      <alignment horizontal="center"/>
    </xf>
    <xf numFmtId="177" fontId="5" fillId="0" borderId="1" xfId="0" applyNumberFormat="1" applyFont="1" applyBorder="1" applyAlignment="1">
      <alignment horizontal="center"/>
    </xf>
    <xf numFmtId="0" fontId="6" fillId="3" borderId="1" xfId="0" applyFont="1" applyFill="1" applyBorder="1" applyAlignment="1"/>
    <xf numFmtId="176" fontId="6" fillId="3" borderId="1" xfId="0" applyNumberFormat="1" applyFont="1" applyFill="1" applyBorder="1" applyAlignment="1"/>
    <xf numFmtId="177" fontId="0" fillId="3" borderId="1" xfId="0" applyNumberFormat="1" applyFill="1" applyBorder="1" applyAlignment="1"/>
    <xf numFmtId="0" fontId="5" fillId="0" borderId="1" xfId="0" applyFont="1" applyBorder="1" applyAlignment="1"/>
    <xf numFmtId="176" fontId="6" fillId="0" borderId="1" xfId="0" applyNumberFormat="1" applyFont="1" applyBorder="1" applyAlignment="1"/>
    <xf numFmtId="177" fontId="6" fillId="0" borderId="1" xfId="0" applyNumberFormat="1" applyFont="1" applyBorder="1" applyAlignment="1"/>
    <xf numFmtId="0" fontId="7" fillId="4" borderId="0" xfId="0" applyFont="1" applyFill="1" applyBorder="1" applyAlignment="1">
      <alignment vertical="center"/>
    </xf>
    <xf numFmtId="0" fontId="7" fillId="3" borderId="0" xfId="0" applyFont="1" applyFill="1" applyBorder="1" applyAlignment="1">
      <alignment vertical="center"/>
    </xf>
    <xf numFmtId="0" fontId="8" fillId="5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/>
    </xf>
    <xf numFmtId="0" fontId="11" fillId="6" borderId="2" xfId="0" applyFont="1" applyFill="1" applyBorder="1" applyAlignment="1"/>
    <xf numFmtId="176" fontId="11" fillId="6" borderId="2" xfId="0" applyNumberFormat="1" applyFont="1" applyFill="1" applyBorder="1" applyAlignment="1"/>
    <xf numFmtId="176" fontId="12" fillId="6" borderId="2" xfId="0" applyNumberFormat="1" applyFont="1" applyFill="1" applyBorder="1" applyAlignment="1"/>
    <xf numFmtId="0" fontId="13" fillId="6" borderId="2" xfId="0" applyFont="1" applyFill="1" applyBorder="1" applyAlignment="1"/>
    <xf numFmtId="176" fontId="13" fillId="6" borderId="2" xfId="0" applyNumberFormat="1" applyFont="1" applyFill="1" applyBorder="1" applyAlignment="1"/>
    <xf numFmtId="0" fontId="14" fillId="7" borderId="2" xfId="0" applyFont="1" applyFill="1" applyBorder="1" applyAlignment="1"/>
    <xf numFmtId="0" fontId="11" fillId="7" borderId="2" xfId="0" applyFont="1" applyFill="1" applyBorder="1" applyAlignment="1"/>
    <xf numFmtId="176" fontId="11" fillId="7" borderId="2" xfId="0" applyNumberFormat="1" applyFont="1" applyFill="1" applyBorder="1" applyAlignment="1"/>
    <xf numFmtId="0" fontId="14" fillId="8" borderId="2" xfId="0" applyFont="1" applyFill="1" applyBorder="1" applyAlignment="1"/>
    <xf numFmtId="0" fontId="11" fillId="8" borderId="2" xfId="0" applyFont="1" applyFill="1" applyBorder="1" applyAlignment="1"/>
    <xf numFmtId="178" fontId="12" fillId="8" borderId="2" xfId="0" applyNumberFormat="1" applyFont="1" applyFill="1" applyBorder="1" applyAlignment="1"/>
    <xf numFmtId="0" fontId="15" fillId="6" borderId="2" xfId="0" applyFont="1" applyFill="1" applyBorder="1" applyAlignment="1"/>
    <xf numFmtId="178" fontId="11" fillId="6" borderId="2" xfId="0" applyNumberFormat="1" applyFont="1" applyFill="1" applyBorder="1" applyAlignment="1"/>
    <xf numFmtId="178" fontId="11" fillId="7" borderId="2" xfId="0" applyNumberFormat="1" applyFont="1" applyFill="1" applyBorder="1" applyAlignment="1"/>
    <xf numFmtId="178" fontId="12" fillId="7" borderId="2" xfId="0" applyNumberFormat="1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1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008000"/>
      <rgbColor rgb="00000080"/>
      <rgbColor rgb="00808000"/>
      <rgbColor rgb="00800080"/>
      <rgbColor rgb="00008080"/>
      <rgbColor rgb="00DCD7C9"/>
      <rgbColor rgb="008B8B8B"/>
      <rgbColor rgb="005B9BD5"/>
      <rgbColor rgb="00993366"/>
      <rgbColor rgb="00F6F4EE"/>
      <rgbColor rgb="00DEEBF7"/>
      <rgbColor rgb="00660066"/>
      <rgbColor rgb="00FF8080"/>
      <rgbColor rgb="000066CC"/>
      <rgbColor rgb="00BDD7EE"/>
      <rgbColor rgb="00000080"/>
      <rgbColor rgb="00FF00FF"/>
      <rgbColor rgb="00FFFF66"/>
      <rgbColor rgb="0000FFFF"/>
      <rgbColor rgb="00800080"/>
      <rgbColor rgb="00800000"/>
      <rgbColor rgb="00008080"/>
      <rgbColor rgb="000000FF"/>
      <rgbColor rgb="0000CCFF"/>
      <rgbColor rgb="00CCFFFF"/>
      <rgbColor rgb="00D9D9D9"/>
      <rgbColor rgb="00FFFF99"/>
      <rgbColor rgb="009DC3E6"/>
      <rgbColor rgb="00FF99CC"/>
      <rgbColor rgb="00CC99FF"/>
      <rgbColor rgb="00FFC7CE"/>
      <rgbColor rgb="003366FF"/>
      <rgbColor rgb="0033CCCC"/>
      <rgbColor rgb="0099CC00"/>
      <rgbColor rgb="00FFC000"/>
      <rgbColor rgb="00FF9900"/>
      <rgbColor rgb="00ED7D31"/>
      <rgbColor rgb="00445463"/>
      <rgbColor rgb="00A5A5A5"/>
      <rgbColor rgb="000E2A3D"/>
      <rgbColor rgb="00339966"/>
      <rgbColor rgb="00003300"/>
      <rgbColor rgb="00333300"/>
      <rgbColor rgb="00993300"/>
      <rgbColor rgb="00993366"/>
      <rgbColor rgb="001F4E79"/>
      <rgbColor rgb="0016222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F6F4EE"/>
      <color rgb="00CFCFCF"/>
      <color rgb="000E2A3D"/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Daily Spending Trend (May 1–7)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Dashboard!$C$20</c:f>
              <c:strCache>
                <c:ptCount val="1"/>
                <c:pt idx="0">
                  <c:v>Amount (₱)</c:v>
                </c:pt>
              </c:strCache>
            </c:strRef>
          </c:tx>
          <c:spPr>
            <a:solidFill>
              <a:srgbClr val="0E2A3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rgbClr val="000000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Dashboard!$B$21:$B$27</c:f>
              <c:strCache>
                <c:ptCount val="7"/>
                <c:pt idx="0">
                  <c:v>May 1</c:v>
                </c:pt>
                <c:pt idx="1">
                  <c:v>May 2</c:v>
                </c:pt>
                <c:pt idx="2">
                  <c:v>May 3</c:v>
                </c:pt>
                <c:pt idx="3">
                  <c:v>May 4</c:v>
                </c:pt>
                <c:pt idx="4">
                  <c:v>May 5</c:v>
                </c:pt>
                <c:pt idx="5">
                  <c:v>May 6</c:v>
                </c:pt>
                <c:pt idx="6">
                  <c:v>May 7</c:v>
                </c:pt>
              </c:strCache>
            </c:strRef>
          </c:cat>
          <c:val>
            <c:numRef>
              <c:f>Dashboard!$C$21:$C$27</c:f>
              <c:numCache>
                <c:formatCode>"₱"#,##0</c:formatCode>
                <c:ptCount val="7"/>
                <c:pt idx="0">
                  <c:v>175</c:v>
                </c:pt>
                <c:pt idx="1">
                  <c:v>220</c:v>
                </c:pt>
                <c:pt idx="2">
                  <c:v>290</c:v>
                </c:pt>
                <c:pt idx="3">
                  <c:v>285</c:v>
                </c:pt>
                <c:pt idx="4">
                  <c:v>165</c:v>
                </c:pt>
                <c:pt idx="5">
                  <c:v>300</c:v>
                </c:pt>
                <c:pt idx="6">
                  <c:v>160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86624205"/>
        <c:axId val="86863952"/>
      </c:barChart>
      <c:catAx>
        <c:axId val="8662420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Date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 cap="flat" cmpd="sng" algn="ctr">
            <a:solidFill>
              <a:srgbClr val="8B8B8B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86863952"/>
        <c:crosses val="autoZero"/>
        <c:auto val="1"/>
        <c:lblAlgn val="ctr"/>
        <c:lblOffset val="100"/>
        <c:noMultiLvlLbl val="0"/>
      </c:catAx>
      <c:valAx>
        <c:axId val="86863952"/>
        <c:scaling>
          <c:orientation val="minMax"/>
        </c:scaling>
        <c:delete val="0"/>
        <c:axPos val="l"/>
        <c:majorGridlines>
          <c:spPr>
            <a:ln w="6480" cap="flat" cmpd="sng" algn="ctr">
              <a:solidFill>
                <a:srgbClr val="8B8B8B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Amount (₱)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>
            <c:manualLayout>
              <c:xMode val="edge"/>
              <c:yMode val="edge"/>
              <c:x val="0.0253721682847896"/>
              <c:y val="0.365010304556904"/>
            </c:manualLayout>
          </c:layout>
          <c:overlay val="0"/>
          <c:spPr>
            <a:noFill/>
            <a:ln w="0">
              <a:noFill/>
            </a:ln>
          </c:spPr>
        </c:title>
        <c:numFmt formatCode="&quot;₱&quot;#,##0" sourceLinked="0"/>
        <c:majorTickMark val="none"/>
        <c:minorTickMark val="none"/>
        <c:tickLblPos val="nextTo"/>
        <c:spPr>
          <a:ln w="6480" cap="flat" cmpd="sng" algn="ctr">
            <a:solidFill>
              <a:srgbClr val="8B8B8B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86624205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f4f8c86-663d-421e-bb6b-8f3966dfaebf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Spending by Category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Dashboard!$C$6</c:f>
              <c:strCache>
                <c:ptCount val="1"/>
                <c:pt idx="0">
                  <c:v>Amount (₱)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explosion val="0"/>
          <c:dPt>
            <c:idx val="0"/>
            <c:bubble3D val="0"/>
            <c:spPr>
              <a:solidFill>
                <a:srgbClr val="5B9BD5"/>
              </a:solidFill>
              <a:ln w="0">
                <a:noFill/>
              </a:ln>
            </c:spPr>
          </c:dPt>
          <c:dPt>
            <c:idx val="1"/>
            <c:bubble3D val="0"/>
            <c:spPr>
              <a:solidFill>
                <a:srgbClr val="ED7D31"/>
              </a:solidFill>
              <a:ln w="0">
                <a:noFill/>
              </a:ln>
            </c:spPr>
          </c:dPt>
          <c:dPt>
            <c:idx val="2"/>
            <c:bubble3D val="0"/>
            <c:spPr>
              <a:solidFill>
                <a:srgbClr val="A5A5A5"/>
              </a:solidFill>
              <a:ln w="0">
                <a:noFill/>
              </a:ln>
            </c:spPr>
          </c:dPt>
          <c:dPt>
            <c:idx val="3"/>
            <c:bubble3D val="0"/>
            <c:spPr>
              <a:solidFill>
                <a:srgbClr val="FFC000"/>
              </a:solidFill>
              <a:ln w="0">
                <a:noFill/>
              </a:ln>
            </c:spPr>
          </c:dPt>
          <c:dLbls>
            <c:dLbl>
              <c:idx val="0"/>
              <c:layout/>
              <c:numFmt formatCode="&quot;₱&quot;#,##0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spc="-1" baseline="0">
                      <a:solidFill>
                        <a:srgbClr val="000000"/>
                      </a:solidFill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&quot;₱&quot;#,##0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spc="-1" baseline="0">
                      <a:solidFill>
                        <a:srgbClr val="000000"/>
                      </a:solidFill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&quot;₱&quot;#,##0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spc="-1" baseline="0">
                      <a:solidFill>
                        <a:srgbClr val="000000"/>
                      </a:solidFill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&quot;₱&quot;#,##0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spc="-1" baseline="0">
                      <a:solidFill>
                        <a:srgbClr val="000000"/>
                      </a:solidFill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</c:extLst>
            </c:dLbl>
            <c:numFmt formatCode="&quot;₱&quot;#,##0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Dashboard!$B$7:$B$10</c:f>
              <c:strCache>
                <c:ptCount val="4"/>
                <c:pt idx="0">
                  <c:v>Food</c:v>
                </c:pt>
                <c:pt idx="1">
                  <c:v>Transportation</c:v>
                </c:pt>
                <c:pt idx="2">
                  <c:v>School</c:v>
                </c:pt>
                <c:pt idx="3">
                  <c:v>Utilities</c:v>
                </c:pt>
              </c:strCache>
            </c:strRef>
          </c:cat>
          <c:val>
            <c:numRef>
              <c:f>Dashboard!$C$7:$C$10</c:f>
              <c:numCache>
                <c:formatCode>"₱"#,##0</c:formatCode>
                <c:ptCount val="4"/>
                <c:pt idx="0">
                  <c:v>870</c:v>
                </c:pt>
                <c:pt idx="1">
                  <c:v>195</c:v>
                </c:pt>
                <c:pt idx="2">
                  <c:v>310</c:v>
                </c:pt>
                <c:pt idx="3">
                  <c:v>220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6e509ad-860f-4e21-8939-b4575bea00b4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externalData r:id="rId1">
    <c:autoUpdate val="0"/>
  </c:externalData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4</xdr:col>
      <xdr:colOff>517525</xdr:colOff>
      <xdr:row>42</xdr:row>
      <xdr:rowOff>31750</xdr:rowOff>
    </xdr:to>
    <xdr:graphicFrame>
      <xdr:nvGraphicFramePr>
        <xdr:cNvPr id="4" name="Chart 3"/>
        <xdr:cNvGraphicFramePr/>
      </xdr:nvGraphicFramePr>
      <xdr:xfrm>
        <a:off x="205740" y="5680710"/>
        <a:ext cx="3535045" cy="25082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46</xdr:row>
      <xdr:rowOff>0</xdr:rowOff>
    </xdr:from>
    <xdr:to>
      <xdr:col>4</xdr:col>
      <xdr:colOff>833120</xdr:colOff>
      <xdr:row>59</xdr:row>
      <xdr:rowOff>121920</xdr:rowOff>
    </xdr:to>
    <xdr:graphicFrame>
      <xdr:nvGraphicFramePr>
        <xdr:cNvPr id="8" name="Chart 7"/>
        <xdr:cNvGraphicFramePr/>
      </xdr:nvGraphicFramePr>
      <xdr:xfrm>
        <a:off x="205740" y="8888730"/>
        <a:ext cx="3850640" cy="2499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8"/>
  <sheetViews>
    <sheetView zoomScale="85" zoomScaleNormal="85" workbookViewId="0">
      <selection activeCell="S4" sqref="S4"/>
    </sheetView>
  </sheetViews>
  <sheetFormatPr defaultColWidth="9" defaultRowHeight="14.4" outlineLevelCol="3"/>
  <cols>
    <col min="1" max="1" width="20.8888888888889" style="1" customWidth="1"/>
    <col min="2" max="2" width="18" style="1" customWidth="1"/>
    <col min="3" max="3" width="15.2222222222222" style="1" customWidth="1"/>
    <col min="4" max="4" width="10.8888888888889" style="1" customWidth="1"/>
    <col min="5" max="5" width="13.2222222222222" style="1" customWidth="1"/>
    <col min="6" max="6" width="15.6574074074074" style="1" customWidth="1"/>
    <col min="8" max="8" width="9.11111111111111" style="1" customWidth="1"/>
  </cols>
  <sheetData>
    <row r="1" ht="21" spans="1:4">
      <c r="A1" s="17" t="s">
        <v>0</v>
      </c>
      <c r="B1" s="17"/>
      <c r="C1" s="17"/>
      <c r="D1" s="17"/>
    </row>
    <row r="2" spans="1:4">
      <c r="A2" s="18" t="s">
        <v>1</v>
      </c>
      <c r="B2" s="18" t="s">
        <v>2</v>
      </c>
      <c r="C2" s="18" t="s">
        <v>3</v>
      </c>
      <c r="D2" s="18" t="s">
        <v>4</v>
      </c>
    </row>
    <row r="3" spans="1:4">
      <c r="A3" s="19" t="s">
        <v>5</v>
      </c>
      <c r="B3" s="20" t="s">
        <v>6</v>
      </c>
      <c r="C3" s="20" t="s">
        <v>7</v>
      </c>
      <c r="D3" s="21">
        <v>30</v>
      </c>
    </row>
    <row r="4" spans="1:4">
      <c r="A4" s="19" t="s">
        <v>5</v>
      </c>
      <c r="B4" s="20" t="s">
        <v>8</v>
      </c>
      <c r="C4" s="20" t="s">
        <v>9</v>
      </c>
      <c r="D4" s="22">
        <v>120</v>
      </c>
    </row>
    <row r="5" spans="1:4">
      <c r="A5" s="19" t="s">
        <v>5</v>
      </c>
      <c r="B5" s="20" t="s">
        <v>10</v>
      </c>
      <c r="C5" s="20" t="s">
        <v>9</v>
      </c>
      <c r="D5" s="21">
        <v>25</v>
      </c>
    </row>
    <row r="6" spans="1:4">
      <c r="A6" s="19" t="s">
        <v>11</v>
      </c>
      <c r="B6" s="20" t="s">
        <v>12</v>
      </c>
      <c r="C6" s="20" t="s">
        <v>7</v>
      </c>
      <c r="D6" s="21">
        <v>40</v>
      </c>
    </row>
    <row r="7" spans="1:4">
      <c r="A7" s="19" t="s">
        <v>11</v>
      </c>
      <c r="B7" s="20" t="s">
        <v>13</v>
      </c>
      <c r="C7" s="20" t="s">
        <v>14</v>
      </c>
      <c r="D7" s="21">
        <v>85</v>
      </c>
    </row>
    <row r="8" ht="14.25" customHeight="1" spans="1:4">
      <c r="A8" s="19" t="s">
        <v>11</v>
      </c>
      <c r="B8" s="20" t="s">
        <v>15</v>
      </c>
      <c r="C8" s="20" t="s">
        <v>9</v>
      </c>
      <c r="D8" s="21">
        <v>95</v>
      </c>
    </row>
    <row r="9" ht="14.25" customHeight="1" spans="1:4">
      <c r="A9" s="19" t="s">
        <v>16</v>
      </c>
      <c r="B9" s="20" t="s">
        <v>17</v>
      </c>
      <c r="C9" s="20" t="s">
        <v>18</v>
      </c>
      <c r="D9" s="21">
        <v>100</v>
      </c>
    </row>
    <row r="10" ht="14.25" customHeight="1" spans="1:4">
      <c r="A10" s="19" t="s">
        <v>16</v>
      </c>
      <c r="B10" s="20" t="s">
        <v>8</v>
      </c>
      <c r="C10" s="20" t="s">
        <v>9</v>
      </c>
      <c r="D10" s="22">
        <v>130</v>
      </c>
    </row>
    <row r="11" ht="14.25" customHeight="1" spans="1:4">
      <c r="A11" s="19" t="s">
        <v>16</v>
      </c>
      <c r="B11" s="20" t="s">
        <v>19</v>
      </c>
      <c r="C11" s="20" t="s">
        <v>14</v>
      </c>
      <c r="D11" s="21">
        <v>60</v>
      </c>
    </row>
    <row r="12" ht="14.25" customHeight="1" spans="1:4">
      <c r="A12" s="19" t="s">
        <v>20</v>
      </c>
      <c r="B12" s="20" t="s">
        <v>21</v>
      </c>
      <c r="C12" s="20" t="s">
        <v>7</v>
      </c>
      <c r="D12" s="21">
        <v>55</v>
      </c>
    </row>
    <row r="13" ht="14.25" customHeight="1" spans="1:4">
      <c r="A13" s="19" t="s">
        <v>20</v>
      </c>
      <c r="B13" s="20" t="s">
        <v>22</v>
      </c>
      <c r="C13" s="20" t="s">
        <v>9</v>
      </c>
      <c r="D13" s="22">
        <v>185</v>
      </c>
    </row>
    <row r="14" ht="14.25" customHeight="1" spans="1:4">
      <c r="A14" s="19" t="s">
        <v>20</v>
      </c>
      <c r="B14" s="20" t="s">
        <v>23</v>
      </c>
      <c r="C14" s="20" t="s">
        <v>14</v>
      </c>
      <c r="D14" s="21">
        <v>45</v>
      </c>
    </row>
    <row r="15" ht="14.25" customHeight="1" spans="1:4">
      <c r="A15" s="19" t="s">
        <v>24</v>
      </c>
      <c r="B15" s="20" t="s">
        <v>25</v>
      </c>
      <c r="C15" s="20" t="s">
        <v>18</v>
      </c>
      <c r="D15" s="21">
        <v>70</v>
      </c>
    </row>
    <row r="16" ht="14.25" customHeight="1" spans="1:4">
      <c r="A16" s="19" t="s">
        <v>24</v>
      </c>
      <c r="B16" s="20" t="s">
        <v>26</v>
      </c>
      <c r="C16" s="20" t="s">
        <v>9</v>
      </c>
      <c r="D16" s="21">
        <v>65</v>
      </c>
    </row>
    <row r="17" ht="14.25" customHeight="1" spans="1:4">
      <c r="A17" s="19" t="s">
        <v>24</v>
      </c>
      <c r="B17" s="20" t="s">
        <v>6</v>
      </c>
      <c r="C17" s="20" t="s">
        <v>7</v>
      </c>
      <c r="D17" s="21">
        <v>30</v>
      </c>
    </row>
    <row r="18" ht="14.25" customHeight="1" spans="1:4">
      <c r="A18" s="19" t="s">
        <v>27</v>
      </c>
      <c r="B18" s="20" t="s">
        <v>8</v>
      </c>
      <c r="C18" s="20" t="s">
        <v>9</v>
      </c>
      <c r="D18" s="22">
        <v>140</v>
      </c>
    </row>
    <row r="19" ht="14.25" customHeight="1" spans="1:4">
      <c r="A19" s="19" t="s">
        <v>27</v>
      </c>
      <c r="B19" s="20" t="s">
        <v>28</v>
      </c>
      <c r="C19" s="20" t="s">
        <v>14</v>
      </c>
      <c r="D19" s="22">
        <v>120</v>
      </c>
    </row>
    <row r="20" ht="14.25" customHeight="1" spans="1:4">
      <c r="A20" s="19" t="s">
        <v>27</v>
      </c>
      <c r="B20" s="20" t="s">
        <v>12</v>
      </c>
      <c r="C20" s="20" t="s">
        <v>7</v>
      </c>
      <c r="D20" s="21">
        <v>40</v>
      </c>
    </row>
    <row r="21" ht="14.25" customHeight="1" spans="1:4">
      <c r="A21" s="19" t="s">
        <v>29</v>
      </c>
      <c r="B21" s="20" t="s">
        <v>30</v>
      </c>
      <c r="C21" s="20" t="s">
        <v>9</v>
      </c>
      <c r="D21" s="22">
        <v>110</v>
      </c>
    </row>
    <row r="22" ht="14.25" customHeight="1" spans="1:4">
      <c r="A22" s="19" t="s">
        <v>29</v>
      </c>
      <c r="B22" s="20" t="s">
        <v>17</v>
      </c>
      <c r="C22" s="20" t="s">
        <v>18</v>
      </c>
      <c r="D22" s="21">
        <v>50</v>
      </c>
    </row>
    <row r="23" ht="14.25" customHeight="1" spans="1:4">
      <c r="A23" s="23"/>
      <c r="B23" s="23"/>
      <c r="C23" s="23"/>
      <c r="D23" s="24"/>
    </row>
    <row r="24" ht="14.25" customHeight="1" spans="1:4">
      <c r="A24" s="23"/>
      <c r="B24" s="23"/>
      <c r="C24" s="23"/>
      <c r="D24" s="24"/>
    </row>
    <row r="25" ht="14.25" customHeight="1" spans="1:4">
      <c r="A25" s="25" t="s">
        <v>9</v>
      </c>
      <c r="B25" s="26"/>
      <c r="C25" s="26"/>
      <c r="D25" s="27">
        <f>SUMIF(C3:C22,"Food",D3:D22)</f>
        <v>870</v>
      </c>
    </row>
    <row r="26" ht="14.25" customHeight="1" spans="1:4">
      <c r="A26" s="25" t="s">
        <v>7</v>
      </c>
      <c r="B26" s="26"/>
      <c r="C26" s="26"/>
      <c r="D26" s="27">
        <f>SUMIF(C3:C22,"Transportation",D3:D22)</f>
        <v>195</v>
      </c>
    </row>
    <row r="27" ht="14.25" customHeight="1" spans="1:4">
      <c r="A27" s="25" t="s">
        <v>14</v>
      </c>
      <c r="B27" s="26"/>
      <c r="C27" s="26"/>
      <c r="D27" s="27">
        <f>SUMIF(C3:C22,"School",D3:D22)</f>
        <v>310</v>
      </c>
    </row>
    <row r="28" ht="14.25" customHeight="1" spans="1:4">
      <c r="A28" s="25" t="s">
        <v>18</v>
      </c>
      <c r="B28" s="26"/>
      <c r="C28" s="26"/>
      <c r="D28" s="27">
        <f>SUMIF(C3:C22,"Utilities",D3:D22)</f>
        <v>220</v>
      </c>
    </row>
    <row r="29" ht="14.25" customHeight="1" spans="1:4">
      <c r="A29" s="28" t="s">
        <v>31</v>
      </c>
      <c r="B29" s="29"/>
      <c r="C29" s="29"/>
      <c r="D29" s="30">
        <f>SUM(D3:D22)</f>
        <v>1595</v>
      </c>
    </row>
    <row r="30" ht="14.25" customHeight="1" spans="1:4">
      <c r="A30" s="31"/>
      <c r="B30" s="20"/>
      <c r="C30" s="20"/>
      <c r="D30" s="32"/>
    </row>
    <row r="31" ht="14.25" customHeight="1" spans="1:4">
      <c r="A31" s="28" t="s">
        <v>32</v>
      </c>
      <c r="B31" s="29"/>
      <c r="C31" s="29"/>
      <c r="D31" s="30">
        <v>3000</v>
      </c>
    </row>
    <row r="32" ht="14.25" customHeight="1" spans="1:4">
      <c r="A32" s="25"/>
      <c r="B32" s="26"/>
      <c r="C32" s="26"/>
      <c r="D32" s="33"/>
    </row>
    <row r="33" ht="14.25" customHeight="1" spans="1:4">
      <c r="A33" s="28" t="s">
        <v>31</v>
      </c>
      <c r="B33" s="29"/>
      <c r="C33" s="29"/>
      <c r="D33" s="30">
        <f>SUM(D3:D23)</f>
        <v>1595</v>
      </c>
    </row>
    <row r="34" ht="14.25" customHeight="1" spans="1:4">
      <c r="A34" s="25" t="s">
        <v>33</v>
      </c>
      <c r="B34" s="26"/>
      <c r="C34" s="26"/>
      <c r="D34" s="34">
        <f>D31-D33</f>
        <v>1405</v>
      </c>
    </row>
    <row r="35" ht="14.25" customHeight="1"/>
    <row r="36" ht="14.25" customHeight="1"/>
    <row r="37" ht="14.25" customHeight="1"/>
    <row r="38" ht="15" customHeight="1"/>
  </sheetData>
  <mergeCells count="1">
    <mergeCell ref="A1:D1"/>
  </mergeCells>
  <conditionalFormatting sqref="F2">
    <cfRule type="cellIs" dxfId="0" priority="5" operator="greaterThan">
      <formula>100</formula>
    </cfRule>
  </conditionalFormatting>
  <conditionalFormatting sqref="D4">
    <cfRule type="cellIs" dxfId="1" priority="4" operator="greaterThan">
      <formula>100</formula>
    </cfRule>
  </conditionalFormatting>
  <conditionalFormatting sqref="D3:D22">
    <cfRule type="cellIs" dxfId="2" priority="2" operator="greaterThan">
      <formula>100</formula>
    </cfRule>
    <cfRule type="cellIs" dxfId="3" priority="3" operator="greaterThan">
      <formula>105</formula>
    </cfRule>
  </conditionalFormatting>
  <pageMargins left="0.7" right="0.7" top="0.75" bottom="0.75" header="0.511811023622047" footer="0.511811023622047"/>
  <pageSetup paperSize="1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67"/>
  <sheetViews>
    <sheetView showGridLines="0" tabSelected="1" zoomScale="85" zoomScaleNormal="85" workbookViewId="0">
      <selection activeCell="F55" sqref="F55"/>
    </sheetView>
  </sheetViews>
  <sheetFormatPr defaultColWidth="8.67592592592593" defaultRowHeight="14.4"/>
  <cols>
    <col min="1" max="1" width="3" style="1" customWidth="1"/>
    <col min="2" max="2" width="16" style="1" customWidth="1"/>
    <col min="3" max="10" width="14" style="1" customWidth="1"/>
  </cols>
  <sheetData>
    <row r="2" ht="19.5" customHeight="1" spans="2:6">
      <c r="B2" s="2" t="s">
        <v>34</v>
      </c>
      <c r="C2" s="2"/>
      <c r="D2" s="2"/>
      <c r="E2" s="2"/>
      <c r="F2" s="2"/>
    </row>
    <row r="3" ht="15" customHeight="1" spans="2:6">
      <c r="B3" s="3" t="s">
        <v>35</v>
      </c>
      <c r="C3" s="3"/>
      <c r="D3" s="3"/>
      <c r="E3" s="3"/>
      <c r="F3" s="3"/>
    </row>
    <row r="5" ht="15.6" spans="2:6">
      <c r="B5" s="4" t="s">
        <v>36</v>
      </c>
      <c r="C5" s="4"/>
    </row>
    <row r="6" ht="15" customHeight="1" spans="2:6">
      <c r="B6" s="5" t="s">
        <v>3</v>
      </c>
      <c r="C6" s="5" t="s">
        <v>37</v>
      </c>
      <c r="D6" s="5" t="s">
        <v>38</v>
      </c>
    </row>
    <row r="7" ht="15" customHeight="1" spans="2:6">
      <c r="B7" s="6" t="s">
        <v>9</v>
      </c>
      <c r="C7" s="7">
        <f>'Week 1 Allowance'!D25</f>
        <v>870</v>
      </c>
      <c r="D7" s="8">
        <f>C7/$C$11</f>
        <v>0.545454545454545</v>
      </c>
    </row>
    <row r="8" ht="15" customHeight="1" spans="2:6">
      <c r="B8" s="6" t="s">
        <v>7</v>
      </c>
      <c r="C8" s="7">
        <f>'Week 1 Allowance'!D26</f>
        <v>195</v>
      </c>
      <c r="D8" s="8">
        <f>C8/$C$11</f>
        <v>0.122257053291536</v>
      </c>
    </row>
    <row r="9" ht="15" customHeight="1" spans="2:6">
      <c r="B9" s="6" t="s">
        <v>14</v>
      </c>
      <c r="C9" s="7">
        <f>'Week 1 Allowance'!D27</f>
        <v>310</v>
      </c>
      <c r="D9" s="8">
        <f>C9/$C$11</f>
        <v>0.19435736677116</v>
      </c>
    </row>
    <row r="10" spans="2:6">
      <c r="B10" s="6" t="s">
        <v>18</v>
      </c>
      <c r="C10" s="7">
        <f>'Week 1 Allowance'!D28</f>
        <v>220</v>
      </c>
      <c r="D10" s="8">
        <f>C10/$C$11</f>
        <v>0.137931034482759</v>
      </c>
    </row>
    <row r="11" ht="15" customHeight="1" spans="2:6">
      <c r="B11" s="9" t="s">
        <v>31</v>
      </c>
      <c r="C11" s="10">
        <f>SUM(C7:C10)</f>
        <v>1595</v>
      </c>
      <c r="D11" s="11">
        <f>SUM(D7:D10)</f>
        <v>1</v>
      </c>
    </row>
    <row r="12" ht="15" customHeight="1"/>
    <row r="13" ht="15" customHeight="1" spans="2:6">
      <c r="B13" s="4" t="s">
        <v>39</v>
      </c>
    </row>
    <row r="14" ht="15" customHeight="1" spans="2:6">
      <c r="B14" s="12" t="s">
        <v>32</v>
      </c>
      <c r="C14" s="13">
        <f>'Week 1 Allowance'!D31</f>
        <v>3000</v>
      </c>
    </row>
    <row r="15" ht="15" customHeight="1" spans="2:6">
      <c r="B15" s="12" t="s">
        <v>40</v>
      </c>
      <c r="C15" s="13">
        <f>'Week 1 Allowance'!D33</f>
        <v>1595</v>
      </c>
    </row>
    <row r="16" ht="15" customHeight="1" spans="2:6">
      <c r="B16" s="12" t="s">
        <v>33</v>
      </c>
      <c r="C16" s="13">
        <f>C14-C15</f>
        <v>1405</v>
      </c>
    </row>
    <row r="17" ht="15" customHeight="1" spans="2:3">
      <c r="B17" s="12" t="s">
        <v>41</v>
      </c>
      <c r="C17" s="14">
        <f>C15/C14</f>
        <v>0.531666666666667</v>
      </c>
    </row>
    <row r="18" ht="15" customHeight="1"/>
    <row r="19" ht="15.6" spans="2:3">
      <c r="B19" s="4" t="s">
        <v>42</v>
      </c>
      <c r="C19" s="4"/>
    </row>
    <row r="20" spans="2:3">
      <c r="B20" s="5" t="s">
        <v>1</v>
      </c>
      <c r="C20" s="5" t="s">
        <v>37</v>
      </c>
    </row>
    <row r="21" spans="2:3">
      <c r="B21" s="6" t="s">
        <v>5</v>
      </c>
      <c r="C21" s="7">
        <f>SUMIF('Week 1 Allowance'!$A$3:$A$22,B21,'Week 1 Allowance'!$D$3:$D$22)</f>
        <v>175</v>
      </c>
    </row>
    <row r="22" spans="2:3">
      <c r="B22" s="6" t="s">
        <v>11</v>
      </c>
      <c r="C22" s="7">
        <f>SUMIF('Week 1 Allowance'!$A$3:$A$22,B22,'Week 1 Allowance'!$D$3:$D$22)</f>
        <v>220</v>
      </c>
    </row>
    <row r="23" spans="2:3">
      <c r="B23" s="6" t="s">
        <v>16</v>
      </c>
      <c r="C23" s="7">
        <f>SUMIF('Week 1 Allowance'!$A$3:$A$22,B23,'Week 1 Allowance'!$D$3:$D$22)</f>
        <v>290</v>
      </c>
    </row>
    <row r="24" spans="2:3">
      <c r="B24" s="6" t="s">
        <v>20</v>
      </c>
      <c r="C24" s="7">
        <f>SUMIF('Week 1 Allowance'!$A$3:$A$22,B24,'Week 1 Allowance'!$D$3:$D$22)</f>
        <v>285</v>
      </c>
    </row>
    <row r="25" spans="2:3">
      <c r="B25" s="6" t="s">
        <v>24</v>
      </c>
      <c r="C25" s="7">
        <f>SUMIF('Week 1 Allowance'!$A$3:$A$22,B25,'Week 1 Allowance'!$D$3:$D$22)</f>
        <v>165</v>
      </c>
    </row>
    <row r="26" spans="2:3">
      <c r="B26" s="6" t="s">
        <v>27</v>
      </c>
      <c r="C26" s="7">
        <f>SUMIF('Week 1 Allowance'!$A$3:$A$22,B26,'Week 1 Allowance'!$D$3:$D$22)</f>
        <v>300</v>
      </c>
    </row>
    <row r="27" spans="2:3">
      <c r="B27" s="6" t="s">
        <v>29</v>
      </c>
      <c r="C27" s="7">
        <f>SUMIF('Week 1 Allowance'!$A$3:$A$22,B27,'Week 1 Allowance'!$D$3:$D$22)</f>
        <v>160</v>
      </c>
    </row>
    <row r="28" spans="2:3">
      <c r="B28" s="9" t="s">
        <v>43</v>
      </c>
      <c r="C28" s="10">
        <f>AVERAGE(C21:C27)</f>
        <v>227.857142857143</v>
      </c>
    </row>
    <row r="34" ht="15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61" ht="15.6" spans="2:9">
      <c r="B61" s="4" t="s">
        <v>44</v>
      </c>
      <c r="G61" s="15"/>
      <c r="H61" s="15"/>
      <c r="I61" s="15"/>
    </row>
    <row r="62" spans="2:9">
      <c r="B62" s="16" t="str">
        <f>"Highest spending category: "&amp;INDEX(B7:B10,MATCH(MAX(C7:C10),C7:C10,0))&amp;" ("&amp;TEXT(MAX(C7:C10),"₱#,##0")&amp;", "&amp;TEXT(MAX(D7:D10),"0.0%")&amp;" of total spending)"</f>
        <v>Highest spending category: Food (₱870, 54.5% of total spending)</v>
      </c>
      <c r="C62" s="16"/>
      <c r="D62" s="16"/>
      <c r="E62" s="16"/>
      <c r="F62" s="16"/>
      <c r="G62" s="15"/>
      <c r="H62" s="15"/>
      <c r="I62" s="15"/>
    </row>
    <row r="63" spans="2:9">
      <c r="B63" s="16" t="str">
        <f>"Lowest spending category: "&amp;INDEX(B7:B10,MATCH(MIN(C7:C10),C7:C10,0))&amp;" ("&amp;TEXT(MIN(C7:C10),"₱#,##0")&amp;", "&amp;TEXT(MIN(D7:D10),"0.0%")&amp;" of total spending)"</f>
        <v>Lowest spending category: Transportation (₱195, 12.2% of total spending)</v>
      </c>
      <c r="C63" s="16"/>
      <c r="D63" s="16"/>
      <c r="E63" s="16"/>
      <c r="F63" s="16"/>
      <c r="G63" s="15"/>
      <c r="H63" s="15"/>
      <c r="I63" s="15"/>
    </row>
    <row r="64" spans="2:9">
      <c r="B64" s="16" t="str">
        <f>"Highest spending day: "&amp;INDEX(B21:B27,MATCH(MAX(C21:C27),C21:C27,0))&amp;" ("&amp;TEXT(MAX(C21:C27),"₱#,##0")&amp;" spent)"</f>
        <v>Highest spending day: May 6 (₱300 spent)</v>
      </c>
      <c r="C64" s="16"/>
      <c r="D64" s="16"/>
      <c r="E64" s="16"/>
      <c r="F64" s="16"/>
      <c r="G64" s="15"/>
      <c r="H64" s="15"/>
      <c r="I64" s="15"/>
    </row>
    <row r="65" spans="2:9">
      <c r="B65" s="16" t="str">
        <f>"Average daily spend: "&amp;TEXT(C28,"₱#,##0")&amp;" per day across the week"</f>
        <v>Average daily spend: ₱228 per day across the week</v>
      </c>
      <c r="C65" s="16"/>
      <c r="D65" s="16"/>
      <c r="E65" s="16"/>
      <c r="F65" s="16"/>
      <c r="G65" s="15"/>
      <c r="H65" s="15"/>
      <c r="I65" s="15"/>
    </row>
    <row r="66" spans="2:9">
      <c r="B66" s="16" t="str">
        <f>"Budget utilization: "&amp;TEXT(C15/C14,"0.0%")&amp;" of the ₱"&amp;TEXT(C14,"#,##0")&amp;" weekly budget used, with "&amp;TEXT(C16,"₱#,##0")&amp;" remaining"</f>
        <v>Budget utilization: 53.2% of the ₱3,000 weekly budget used, with ₱1,405 remaining</v>
      </c>
      <c r="C66" s="16"/>
      <c r="D66" s="16"/>
      <c r="E66" s="16"/>
      <c r="F66" s="16"/>
      <c r="G66" s="15"/>
      <c r="H66" s="15"/>
      <c r="I66" s="15"/>
    </row>
    <row r="67" spans="2:9">
      <c r="B67" s="16" t="str">
        <f>"Food and Transportation together account for "&amp;TEXT((C7+C8)/C11,"0.0%")&amp;" of total expenses"</f>
        <v>Food and Transportation together account for 66.8% of total expenses</v>
      </c>
      <c r="C67" s="16"/>
      <c r="D67" s="16"/>
      <c r="E67" s="16"/>
      <c r="F67" s="16"/>
    </row>
  </sheetData>
  <sortState ref="I2:J17">
    <sortCondition ref="I2"/>
  </sortState>
  <mergeCells count="2">
    <mergeCell ref="B5:C5"/>
    <mergeCell ref="B19:C19"/>
  </mergeCells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Week 1 Allowance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Rester</dc:creator>
  <cp:lastModifiedBy>Rester</cp:lastModifiedBy>
  <cp:revision>2</cp:revision>
  <dcterms:created xsi:type="dcterms:W3CDTF">2026-05-28T03:04:00Z</dcterms:created>
  <dcterms:modified xsi:type="dcterms:W3CDTF">2026-06-28T09:14:59Z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167EF4E3E5DD4C49BD97CE5CBF0F9728_12</vt:lpwstr>
  </property>
  <property fmtid="{D5CDD505-2E9C-101B-9397-08002B2CF9AE}" pid="4" name="KSOProductBuildVer">
    <vt:lpwstr>1033-12.1.0.26880</vt:lpwstr>
  </property>
</Properties>
</file>